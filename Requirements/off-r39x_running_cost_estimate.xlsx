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9" documentId="11_FEB172766496786FA2727C1E381C18AE8E9166CD" xr6:coauthVersionLast="47" xr6:coauthVersionMax="47" xr10:uidLastSave="{51BD9CD5-06C0-40A9-9D9E-8BBFC951DE9D}"/>
  <bookViews>
    <workbookView xWindow="0" yWindow="0" windowWidth="16384" windowHeight="8192" tabRatio="500" xr2:uid="{00000000-000D-0000-FFFF-FFFF00000000}"/>
  </bookViews>
  <sheets>
    <sheet name="前提条件" sheetId="1" r:id="rId1"/>
    <sheet name="固定費" sheetId="2" r:id="rId2"/>
    <sheet name="変動費" sheetId="3" r:id="rId3"/>
    <sheet name="サマリー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" i="3" l="1"/>
  <c r="C9" i="3"/>
  <c r="E8" i="3"/>
  <c r="C8" i="3"/>
  <c r="F7" i="3"/>
  <c r="D7" i="3"/>
  <c r="F6" i="3"/>
  <c r="D6" i="3"/>
  <c r="E5" i="3"/>
  <c r="F5" i="3" s="1"/>
  <c r="C5" i="3"/>
  <c r="D5" i="3" s="1"/>
  <c r="E4" i="3"/>
  <c r="F4" i="3" s="1"/>
  <c r="F10" i="3" s="1"/>
  <c r="C5" i="4" s="1"/>
  <c r="C4" i="3"/>
  <c r="D4" i="3" s="1"/>
  <c r="D10" i="3" s="1"/>
  <c r="B5" i="4" s="1"/>
  <c r="C8" i="2"/>
  <c r="D7" i="2"/>
  <c r="D6" i="2"/>
  <c r="D5" i="2"/>
  <c r="D4" i="2"/>
  <c r="D8" i="2" s="1"/>
  <c r="C4" i="4" l="1"/>
  <c r="C6" i="4" s="1"/>
  <c r="B4" i="4"/>
  <c r="B6" i="4" s="1"/>
  <c r="B10" i="4" s="1"/>
</calcChain>
</file>

<file path=xl/sharedStrings.xml><?xml version="1.0" encoding="utf-8"?>
<sst xmlns="http://schemas.openxmlformats.org/spreadsheetml/2006/main" count="135" uniqueCount="113">
  <si>
    <r>
      <rPr>
        <b/>
        <sz val="14"/>
        <color rgb="FFFFFFFF"/>
        <rFont val="Arial"/>
        <charset val="1"/>
      </rPr>
      <t xml:space="preserve">off r39'x </t>
    </r>
    <r>
      <rPr>
        <b/>
        <sz val="14"/>
        <color rgb="FFFFFFFF"/>
        <rFont val="Noto Sans CJK SC"/>
        <family val="2"/>
      </rPr>
      <t>ランニングコスト試算 ― 前提条件</t>
    </r>
  </si>
  <si>
    <t>青字＝編集可能な入力値／黄色塗り＝特に重要な仮定値（要調整）。黒字の計算式は変更しないでください。</t>
  </si>
  <si>
    <t>項目</t>
  </si>
  <si>
    <t>値</t>
  </si>
  <si>
    <t>単位</t>
  </si>
  <si>
    <t>備考・出典</t>
  </si>
  <si>
    <t>為替レート</t>
  </si>
  <si>
    <r>
      <rPr>
        <sz val="11"/>
        <color rgb="FF000000"/>
        <rFont val="Arial"/>
        <charset val="1"/>
      </rPr>
      <t xml:space="preserve">USD → JPY </t>
    </r>
    <r>
      <rPr>
        <sz val="11"/>
        <color rgb="FF000000"/>
        <rFont val="Noto Sans CJK SC"/>
        <family val="2"/>
      </rPr>
      <t>為替レート</t>
    </r>
  </si>
  <si>
    <r>
      <rPr>
        <sz val="11"/>
        <color rgb="FF000000"/>
        <rFont val="Noto Sans CJK SC"/>
        <family val="2"/>
      </rPr>
      <t>円</t>
    </r>
    <r>
      <rPr>
        <sz val="11"/>
        <color rgb="FF000000"/>
        <rFont val="Arial"/>
        <charset val="1"/>
      </rPr>
      <t>/USD</t>
    </r>
  </si>
  <si>
    <r>
      <rPr>
        <i/>
        <sz val="9"/>
        <color rgb="FF595959"/>
        <rFont val="Arial"/>
        <charset val="1"/>
      </rPr>
      <t xml:space="preserve">XE.com </t>
    </r>
    <r>
      <rPr>
        <i/>
        <sz val="9"/>
        <color rgb="FF595959"/>
        <rFont val="Noto Sans CJK SC"/>
        <family val="2"/>
      </rPr>
      <t>参考レート（</t>
    </r>
    <r>
      <rPr>
        <i/>
        <sz val="9"/>
        <color rgb="FF595959"/>
        <rFont val="Arial"/>
        <charset val="1"/>
      </rPr>
      <t>2026</t>
    </r>
    <r>
      <rPr>
        <i/>
        <sz val="9"/>
        <color rgb="FF595959"/>
        <rFont val="Noto Sans CJK SC"/>
        <family val="2"/>
      </rPr>
      <t>年</t>
    </r>
    <r>
      <rPr>
        <i/>
        <sz val="9"/>
        <color rgb="FF595959"/>
        <rFont val="Arial"/>
        <charset val="1"/>
      </rPr>
      <t>9</t>
    </r>
    <r>
      <rPr>
        <i/>
        <sz val="9"/>
        <color rgb="FF595959"/>
        <rFont val="Noto Sans CJK SC"/>
        <family val="2"/>
      </rPr>
      <t>月時点の目安。実際の請求時レートにより変動）</t>
    </r>
  </si>
  <si>
    <t>規模条件（ユーザー提示）</t>
  </si>
  <si>
    <t>登録利用ユーザー数</t>
  </si>
  <si>
    <t>名</t>
  </si>
  <si>
    <t>ユーザー提示条件</t>
  </si>
  <si>
    <t>同時利用ユーザー数</t>
  </si>
  <si>
    <r>
      <rPr>
        <i/>
        <sz val="9"/>
        <color rgb="FF595959"/>
        <rFont val="Noto Sans CJK SC"/>
        <family val="2"/>
      </rPr>
      <t>ユーザー提示条件。</t>
    </r>
    <r>
      <rPr>
        <i/>
        <sz val="9"/>
        <color rgb="FF595959"/>
        <rFont val="Arial"/>
        <charset val="1"/>
      </rPr>
      <t>Railway/Supabase</t>
    </r>
    <r>
      <rPr>
        <i/>
        <sz val="9"/>
        <color rgb="FF595959"/>
        <rFont val="Noto Sans CJK SC"/>
        <family val="2"/>
      </rPr>
      <t>の必要スペック見積りの前提</t>
    </r>
  </si>
  <si>
    <t>決済シナリオ ― 通常月（閑散期）</t>
  </si>
  <si>
    <t>決済件数（通常月）</t>
  </si>
  <si>
    <r>
      <rPr>
        <sz val="11"/>
        <color rgb="FF000000"/>
        <rFont val="Noto Sans CJK SC"/>
        <family val="2"/>
      </rPr>
      <t>件</t>
    </r>
    <r>
      <rPr>
        <sz val="11"/>
        <color rgb="FF000000"/>
        <rFont val="Arial"/>
        <charset val="1"/>
      </rPr>
      <t>/</t>
    </r>
    <r>
      <rPr>
        <sz val="11"/>
        <color rgb="FF000000"/>
        <rFont val="Noto Sans CJK SC"/>
        <family val="2"/>
      </rPr>
      <t>月</t>
    </r>
  </si>
  <si>
    <t>仮定値・要調整</t>
  </si>
  <si>
    <t>平均決済単価（通常月）</t>
  </si>
  <si>
    <t>円</t>
  </si>
  <si>
    <t>返金件数（通常月）</t>
  </si>
  <si>
    <t>仮定値・要調整（全額返金のみ、運営判断で実行という運用を想定）</t>
  </si>
  <si>
    <t>決済シナリオ ― 繁忙月（販売開始・イベント当日を含む月）</t>
  </si>
  <si>
    <t>決済件数（繁忙月）</t>
  </si>
  <si>
    <t>仮定値・要調整（決済失敗の再試行分を含む延べ件数）</t>
  </si>
  <si>
    <t>平均決済単価（繁忙月）</t>
  </si>
  <si>
    <t>返金件数（繁忙月）</t>
  </si>
  <si>
    <r>
      <rPr>
        <b/>
        <sz val="11"/>
        <color rgb="FF1F4E78"/>
        <rFont val="Noto Sans CJK SC"/>
        <family val="2"/>
      </rPr>
      <t>メール配信（決済</t>
    </r>
    <r>
      <rPr>
        <b/>
        <sz val="11"/>
        <color rgb="FF1F4E78"/>
        <rFont val="Arial"/>
        <charset val="1"/>
      </rPr>
      <t>/</t>
    </r>
    <r>
      <rPr>
        <b/>
        <sz val="11"/>
        <color rgb="FF1F4E78"/>
        <rFont val="Noto Sans CJK SC"/>
        <family val="2"/>
      </rPr>
      <t>返金通知＋ニュース配信）</t>
    </r>
  </si>
  <si>
    <t>月間送信メール数（通常月）</t>
  </si>
  <si>
    <r>
      <rPr>
        <sz val="11"/>
        <color rgb="FF000000"/>
        <rFont val="Noto Sans CJK SC"/>
        <family val="2"/>
      </rPr>
      <t>通</t>
    </r>
    <r>
      <rPr>
        <sz val="11"/>
        <color rgb="FF000000"/>
        <rFont val="Arial"/>
        <charset val="1"/>
      </rPr>
      <t>/</t>
    </r>
    <r>
      <rPr>
        <sz val="11"/>
        <color rgb="FF000000"/>
        <rFont val="Noto Sans CJK SC"/>
        <family val="2"/>
      </rPr>
      <t>月</t>
    </r>
  </si>
  <si>
    <t>月間送信メール数（繁忙月）</t>
  </si>
  <si>
    <t>仮定値・要調整（ニュース一斉配信を含む）</t>
  </si>
  <si>
    <r>
      <rPr>
        <b/>
        <sz val="11"/>
        <color rgb="FF1F4E78"/>
        <rFont val="Arial"/>
        <charset val="1"/>
      </rPr>
      <t>Web</t>
    </r>
    <r>
      <rPr>
        <b/>
        <sz val="11"/>
        <color rgb="FF1F4E78"/>
        <rFont val="Noto Sans CJK SC"/>
        <family val="2"/>
      </rPr>
      <t>データ転送量（公開サイト・ニュース・催し物掲載を含む）</t>
    </r>
  </si>
  <si>
    <t>月間データ転送量（通常月）</t>
  </si>
  <si>
    <r>
      <rPr>
        <sz val="11"/>
        <color rgb="FF000000"/>
        <rFont val="Arial"/>
        <charset val="1"/>
      </rPr>
      <t>GB/</t>
    </r>
    <r>
      <rPr>
        <sz val="11"/>
        <color rgb="FF000000"/>
        <rFont val="Noto Sans CJK SC"/>
        <family val="2"/>
      </rPr>
      <t>月</t>
    </r>
  </si>
  <si>
    <t>月間データ転送量（繁忙月）</t>
  </si>
  <si>
    <t>仮定値・要調整（アクセス集中・画像掲載増を想定）</t>
  </si>
  <si>
    <r>
      <rPr>
        <b/>
        <sz val="11"/>
        <color rgb="FF1F4E78"/>
        <rFont val="Arial"/>
        <charset val="1"/>
      </rPr>
      <t>Stripe</t>
    </r>
    <r>
      <rPr>
        <b/>
        <sz val="11"/>
        <color rgb="FF1F4E78"/>
        <rFont val="Noto Sans CJK SC"/>
        <family val="2"/>
      </rPr>
      <t>手数料率（</t>
    </r>
    <r>
      <rPr>
        <b/>
        <sz val="11"/>
        <color rgb="FF1F4E78"/>
        <rFont val="Arial"/>
        <charset val="1"/>
      </rPr>
      <t>2026</t>
    </r>
    <r>
      <rPr>
        <b/>
        <sz val="11"/>
        <color rgb="FF1F4E78"/>
        <rFont val="Noto Sans CJK SC"/>
        <family val="2"/>
      </rPr>
      <t>年</t>
    </r>
    <r>
      <rPr>
        <b/>
        <sz val="11"/>
        <color rgb="FF1F4E78"/>
        <rFont val="Arial"/>
        <charset val="1"/>
      </rPr>
      <t>9</t>
    </r>
    <r>
      <rPr>
        <b/>
        <sz val="11"/>
        <color rgb="FF1F4E78"/>
        <rFont val="Noto Sans CJK SC"/>
        <family val="2"/>
      </rPr>
      <t>月時点、公式サイト参照）</t>
    </r>
  </si>
  <si>
    <t>カード決済手数料率</t>
  </si>
  <si>
    <t>%</t>
  </si>
  <si>
    <r>
      <rPr>
        <i/>
        <sz val="9"/>
        <color rgb="FF595959"/>
        <rFont val="Arial"/>
        <charset val="1"/>
      </rPr>
      <t>Stripe</t>
    </r>
    <r>
      <rPr>
        <i/>
        <sz val="9"/>
        <color rgb="FF595959"/>
        <rFont val="Noto Sans CJK SC"/>
        <family val="2"/>
      </rPr>
      <t xml:space="preserve">公式 </t>
    </r>
    <r>
      <rPr>
        <i/>
        <sz val="9"/>
        <color rgb="FF595959"/>
        <rFont val="Arial"/>
        <charset val="1"/>
      </rPr>
      <t>stripe.com/jp/pricing</t>
    </r>
  </si>
  <si>
    <t>コンビニ払い手数料率</t>
  </si>
  <si>
    <r>
      <rPr>
        <i/>
        <sz val="9"/>
        <color rgb="FF595959"/>
        <rFont val="Arial"/>
        <charset val="1"/>
      </rPr>
      <t>Stripe</t>
    </r>
    <r>
      <rPr>
        <i/>
        <sz val="9"/>
        <color rgb="FF595959"/>
        <rFont val="Noto Sans CJK SC"/>
        <family val="2"/>
      </rPr>
      <t xml:space="preserve">公式 </t>
    </r>
    <r>
      <rPr>
        <i/>
        <sz val="9"/>
        <color rgb="FF595959"/>
        <rFont val="Arial"/>
        <charset val="1"/>
      </rPr>
      <t>stripe.com/jp/pricing</t>
    </r>
    <r>
      <rPr>
        <i/>
        <sz val="9"/>
        <color rgb="FF595959"/>
        <rFont val="Noto Sans CJK SC"/>
        <family val="2"/>
      </rPr>
      <t>（最低手数料は別行）</t>
    </r>
  </si>
  <si>
    <t>コンビニ払い 最低手数料</t>
  </si>
  <si>
    <r>
      <rPr>
        <sz val="11"/>
        <color rgb="FF000000"/>
        <rFont val="Noto Sans CJK SC"/>
        <family val="2"/>
      </rPr>
      <t>円</t>
    </r>
    <r>
      <rPr>
        <sz val="11"/>
        <color rgb="FF000000"/>
        <rFont val="Arial"/>
        <charset val="1"/>
      </rPr>
      <t>/</t>
    </r>
    <r>
      <rPr>
        <sz val="11"/>
        <color rgb="FF000000"/>
        <rFont val="Noto Sans CJK SC"/>
        <family val="2"/>
      </rPr>
      <t>件</t>
    </r>
  </si>
  <si>
    <t>コンビニ払い 返金時の追加手数料</t>
  </si>
  <si>
    <r>
      <rPr>
        <i/>
        <sz val="9"/>
        <color rgb="FF595959"/>
        <rFont val="Arial"/>
        <charset val="1"/>
      </rPr>
      <t>Stripe</t>
    </r>
    <r>
      <rPr>
        <i/>
        <sz val="9"/>
        <color rgb="FF595959"/>
        <rFont val="Noto Sans CJK SC"/>
        <family val="2"/>
      </rPr>
      <t>公式（</t>
    </r>
    <r>
      <rPr>
        <i/>
        <sz val="9"/>
        <color rgb="FF595959"/>
        <rFont val="Arial"/>
        <charset val="1"/>
      </rPr>
      <t>¥250</t>
    </r>
    <r>
      <rPr>
        <i/>
        <sz val="9"/>
        <color rgb="FF595959"/>
        <rFont val="Noto Sans CJK SC"/>
        <family val="2"/>
      </rPr>
      <t>＋消費税</t>
    </r>
    <r>
      <rPr>
        <i/>
        <sz val="9"/>
        <color rgb="FF595959"/>
        <rFont val="Arial"/>
        <charset val="1"/>
      </rPr>
      <t>10%</t>
    </r>
    <r>
      <rPr>
        <i/>
        <sz val="9"/>
        <color rgb="FF595959"/>
        <rFont val="Noto Sans CJK SC"/>
        <family val="2"/>
      </rPr>
      <t>）。カード返金の追加手数料は公式サイトに明記なし（要</t>
    </r>
    <r>
      <rPr>
        <i/>
        <sz val="9"/>
        <color rgb="FF595959"/>
        <rFont val="Arial"/>
        <charset val="1"/>
      </rPr>
      <t>Stripe</t>
    </r>
    <r>
      <rPr>
        <i/>
        <sz val="9"/>
        <color rgb="FF595959"/>
        <rFont val="Noto Sans CJK SC"/>
        <family val="2"/>
      </rPr>
      <t>サポート確認）</t>
    </r>
  </si>
  <si>
    <t>固定費（月額サブスクリプション費用）</t>
  </si>
  <si>
    <t>サービス</t>
  </si>
  <si>
    <t>プラン</t>
  </si>
  <si>
    <r>
      <rPr>
        <b/>
        <sz val="11"/>
        <color rgb="FFFFFFFF"/>
        <rFont val="Noto Sans CJK SC"/>
        <family val="2"/>
      </rPr>
      <t xml:space="preserve">月額 </t>
    </r>
    <r>
      <rPr>
        <b/>
        <sz val="11"/>
        <color rgb="FFFFFFFF"/>
        <rFont val="Arial"/>
        <charset val="1"/>
      </rPr>
      <t>(USD)</t>
    </r>
  </si>
  <si>
    <r>
      <rPr>
        <b/>
        <sz val="11"/>
        <color rgb="FFFFFFFF"/>
        <rFont val="Noto Sans CJK SC"/>
        <family val="2"/>
      </rPr>
      <t xml:space="preserve">月額 </t>
    </r>
    <r>
      <rPr>
        <b/>
        <sz val="11"/>
        <color rgb="FFFFFFFF"/>
        <rFont val="Arial"/>
        <charset val="1"/>
      </rPr>
      <t>(</t>
    </r>
    <r>
      <rPr>
        <b/>
        <sz val="11"/>
        <color rgb="FFFFFFFF"/>
        <rFont val="Noto Sans CJK SC"/>
        <family val="2"/>
      </rPr>
      <t>円</t>
    </r>
    <r>
      <rPr>
        <b/>
        <sz val="11"/>
        <color rgb="FFFFFFFF"/>
        <rFont val="Arial"/>
        <charset val="1"/>
      </rPr>
      <t>)</t>
    </r>
  </si>
  <si>
    <t>用途・備考（出典）</t>
  </si>
  <si>
    <t>Vercel</t>
  </si>
  <si>
    <t>Pro</t>
  </si>
  <si>
    <r>
      <rPr>
        <i/>
        <sz val="9"/>
        <color rgb="FF595959"/>
        <rFont val="Arial"/>
        <charset val="1"/>
      </rPr>
      <t>Web</t>
    </r>
    <r>
      <rPr>
        <i/>
        <sz val="9"/>
        <color rgb="FF595959"/>
        <rFont val="Noto Sans CJK SC"/>
        <family val="2"/>
      </rPr>
      <t>サイト（公開情報・ニュース配信・催し物掲載・購入導線）のホスティング。商用のイベント運営サイトのため</t>
    </r>
    <r>
      <rPr>
        <i/>
        <sz val="9"/>
        <color rgb="FF595959"/>
        <rFont val="Arial"/>
        <charset val="1"/>
      </rPr>
      <t>Hobby</t>
    </r>
    <r>
      <rPr>
        <i/>
        <sz val="9"/>
        <color rgb="FF595959"/>
        <rFont val="Noto Sans CJK SC"/>
        <family val="2"/>
      </rPr>
      <t>（個人利用規約）ではなく</t>
    </r>
    <r>
      <rPr>
        <i/>
        <sz val="9"/>
        <color rgb="FF595959"/>
        <rFont val="Arial"/>
        <charset val="1"/>
      </rPr>
      <t>Pro</t>
    </r>
    <r>
      <rPr>
        <i/>
        <sz val="9"/>
        <color rgb="FF595959"/>
        <rFont val="Noto Sans CJK SC"/>
        <family val="2"/>
      </rPr>
      <t>を想定。</t>
    </r>
    <r>
      <rPr>
        <i/>
        <sz val="9"/>
        <color rgb="FF595959"/>
        <rFont val="Arial"/>
        <charset val="1"/>
      </rPr>
      <t>Fast Data Transfer 1TB/</t>
    </r>
    <r>
      <rPr>
        <i/>
        <sz val="9"/>
        <color rgb="FF595959"/>
        <rFont val="Noto Sans CJK SC"/>
        <family val="2"/>
      </rPr>
      <t>月・</t>
    </r>
    <r>
      <rPr>
        <i/>
        <sz val="9"/>
        <color rgb="FF595959"/>
        <rFont val="Arial"/>
        <charset val="1"/>
      </rPr>
      <t>Edge Requests 10M/</t>
    </r>
    <r>
      <rPr>
        <i/>
        <sz val="9"/>
        <color rgb="FF595959"/>
        <rFont val="Noto Sans CJK SC"/>
        <family val="2"/>
      </rPr>
      <t>月・</t>
    </r>
    <r>
      <rPr>
        <i/>
        <sz val="9"/>
        <color rgb="FF595959"/>
        <rFont val="Arial"/>
        <charset val="1"/>
      </rPr>
      <t>Function Invocations 1M/</t>
    </r>
    <r>
      <rPr>
        <i/>
        <sz val="9"/>
        <color rgb="FF595959"/>
        <rFont val="Noto Sans CJK SC"/>
        <family val="2"/>
      </rPr>
      <t>月を含む。出典</t>
    </r>
    <r>
      <rPr>
        <i/>
        <sz val="9"/>
        <color rgb="FF595959"/>
        <rFont val="Arial"/>
        <charset val="1"/>
      </rPr>
      <t>: vercel.com/pricing</t>
    </r>
  </si>
  <si>
    <t>Railway</t>
  </si>
  <si>
    <r>
      <rPr>
        <sz val="11"/>
        <color rgb="FF000000"/>
        <rFont val="Arial"/>
        <charset val="1"/>
      </rPr>
      <t>Pro</t>
    </r>
    <r>
      <rPr>
        <sz val="11"/>
        <color rgb="FF000000"/>
        <rFont val="Noto Sans CJK SC"/>
        <family val="2"/>
      </rPr>
      <t>（月額最低利用額）</t>
    </r>
  </si>
  <si>
    <r>
      <rPr>
        <i/>
        <sz val="9"/>
        <color rgb="FF595959"/>
        <rFont val="Arial"/>
        <charset val="1"/>
      </rPr>
      <t>API</t>
    </r>
    <r>
      <rPr>
        <i/>
        <sz val="9"/>
        <color rgb="FF595959"/>
        <rFont val="Noto Sans CJK SC"/>
        <family val="2"/>
      </rPr>
      <t>サーバー（</t>
    </r>
    <r>
      <rPr>
        <i/>
        <sz val="9"/>
        <color rgb="FF595959"/>
        <rFont val="Arial"/>
        <charset val="1"/>
      </rPr>
      <t>Hono</t>
    </r>
    <r>
      <rPr>
        <i/>
        <sz val="9"/>
        <color rgb="FF595959"/>
        <rFont val="Noto Sans CJK SC"/>
        <family val="2"/>
      </rPr>
      <t>）ホスティング。</t>
    </r>
    <r>
      <rPr>
        <i/>
        <sz val="9"/>
        <color rgb="FF595959"/>
        <rFont val="Arial"/>
        <charset val="1"/>
      </rPr>
      <t>Pro</t>
    </r>
    <r>
      <rPr>
        <i/>
        <sz val="9"/>
        <color rgb="FF595959"/>
        <rFont val="Noto Sans CJK SC"/>
        <family val="2"/>
      </rPr>
      <t>プランは</t>
    </r>
    <r>
      <rPr>
        <i/>
        <sz val="9"/>
        <color rgb="FF595959"/>
        <rFont val="Arial"/>
        <charset val="1"/>
      </rPr>
      <t>$20/</t>
    </r>
    <r>
      <rPr>
        <i/>
        <sz val="9"/>
        <color rgb="FF595959"/>
        <rFont val="Noto Sans CJK SC"/>
        <family val="2"/>
      </rPr>
      <t>月がクレジットとしての最低利用額（</t>
    </r>
    <r>
      <rPr>
        <i/>
        <sz val="9"/>
        <color rgb="FF595959"/>
        <rFont val="Arial"/>
        <charset val="1"/>
      </rPr>
      <t>=</t>
    </r>
    <r>
      <rPr>
        <i/>
        <sz val="9"/>
        <color rgb="FF595959"/>
        <rFont val="Noto Sans CJK SC"/>
        <family val="2"/>
      </rPr>
      <t>実質の固定費フロア）。実際の</t>
    </r>
    <r>
      <rPr>
        <i/>
        <sz val="9"/>
        <color rgb="FF595959"/>
        <rFont val="Arial"/>
        <charset val="1"/>
      </rPr>
      <t>CPU/</t>
    </r>
    <r>
      <rPr>
        <i/>
        <sz val="9"/>
        <color rgb="FF595959"/>
        <rFont val="Noto Sans CJK SC"/>
        <family val="2"/>
      </rPr>
      <t>メモリ従量課金がこれを超えた分は「変動費」シートで計上。出典</t>
    </r>
    <r>
      <rPr>
        <i/>
        <sz val="9"/>
        <color rgb="FF595959"/>
        <rFont val="Arial"/>
        <charset val="1"/>
      </rPr>
      <t>: railway.com/pricing</t>
    </r>
  </si>
  <si>
    <t>Supabase</t>
  </si>
  <si>
    <r>
      <rPr>
        <i/>
        <sz val="9"/>
        <color rgb="FF595959"/>
        <rFont val="Arial"/>
        <charset val="1"/>
      </rPr>
      <t xml:space="preserve">PostgreSQL </t>
    </r>
    <r>
      <rPr>
        <i/>
        <sz val="9"/>
        <color rgb="FF595959"/>
        <rFont val="Noto Sans CJK SC"/>
        <family val="2"/>
      </rPr>
      <t xml:space="preserve">データベース </t>
    </r>
    <r>
      <rPr>
        <i/>
        <sz val="9"/>
        <color rgb="FF595959"/>
        <rFont val="Arial"/>
        <charset val="1"/>
      </rPr>
      <t>+ Auth</t>
    </r>
    <r>
      <rPr>
        <i/>
        <sz val="9"/>
        <color rgb="FF595959"/>
        <rFont val="Noto Sans CJK SC"/>
        <family val="2"/>
      </rPr>
      <t>（認証）。</t>
    </r>
    <r>
      <rPr>
        <i/>
        <sz val="9"/>
        <color rgb="FF595959"/>
        <rFont val="Arial"/>
        <charset val="1"/>
      </rPr>
      <t>DB 8GB</t>
    </r>
    <r>
      <rPr>
        <i/>
        <sz val="9"/>
        <color rgb="FF595959"/>
        <rFont val="Noto Sans CJK SC"/>
        <family val="2"/>
      </rPr>
      <t>・</t>
    </r>
    <r>
      <rPr>
        <i/>
        <sz val="9"/>
        <color rgb="FF595959"/>
        <rFont val="Arial"/>
        <charset val="1"/>
      </rPr>
      <t>MAU 100,000</t>
    </r>
    <r>
      <rPr>
        <i/>
        <sz val="9"/>
        <color rgb="FF595959"/>
        <rFont val="Noto Sans CJK SC"/>
        <family val="2"/>
      </rPr>
      <t>名までを含み、登録</t>
    </r>
    <r>
      <rPr>
        <i/>
        <sz val="9"/>
        <color rgb="FF595959"/>
        <rFont val="Arial"/>
        <charset val="1"/>
      </rPr>
      <t>300</t>
    </r>
    <r>
      <rPr>
        <i/>
        <sz val="9"/>
        <color rgb="FF595959"/>
        <rFont val="Noto Sans CJK SC"/>
        <family val="2"/>
      </rPr>
      <t>名規模であれば通常は追加費用なしで収まる。</t>
    </r>
    <r>
      <rPr>
        <i/>
        <sz val="9"/>
        <color rgb="FF595959"/>
        <rFont val="Arial"/>
        <charset val="1"/>
      </rPr>
      <t>$10/</t>
    </r>
    <r>
      <rPr>
        <i/>
        <sz val="9"/>
        <color rgb="FF595959"/>
        <rFont val="Noto Sans CJK SC"/>
        <family val="2"/>
      </rPr>
      <t>月分のコンピュートクレジットを含む。出典</t>
    </r>
    <r>
      <rPr>
        <i/>
        <sz val="9"/>
        <color rgb="FF595959"/>
        <rFont val="Arial"/>
        <charset val="1"/>
      </rPr>
      <t>: supabase.com/pricing</t>
    </r>
  </si>
  <si>
    <t>Resend</t>
  </si>
  <si>
    <r>
      <rPr>
        <i/>
        <sz val="9"/>
        <color rgb="FF595959"/>
        <rFont val="Noto Sans CJK SC"/>
        <family val="2"/>
      </rPr>
      <t>決済</t>
    </r>
    <r>
      <rPr>
        <i/>
        <sz val="9"/>
        <color rgb="FF595959"/>
        <rFont val="Arial"/>
        <charset val="1"/>
      </rPr>
      <t>/</t>
    </r>
    <r>
      <rPr>
        <i/>
        <sz val="9"/>
        <color rgb="FF595959"/>
        <rFont val="Noto Sans CJK SC"/>
        <family val="2"/>
      </rPr>
      <t>返金通知メール、ニュース一斉配信用のメール送信基盤。</t>
    </r>
    <r>
      <rPr>
        <i/>
        <sz val="9"/>
        <color rgb="FF595959"/>
        <rFont val="Arial"/>
        <charset val="1"/>
      </rPr>
      <t>50,000</t>
    </r>
    <r>
      <rPr>
        <i/>
        <sz val="9"/>
        <color rgb="FF595959"/>
        <rFont val="Noto Sans CJK SC"/>
        <family val="2"/>
      </rPr>
      <t>通</t>
    </r>
    <r>
      <rPr>
        <i/>
        <sz val="9"/>
        <color rgb="FF595959"/>
        <rFont val="Arial"/>
        <charset val="1"/>
      </rPr>
      <t>/</t>
    </r>
    <r>
      <rPr>
        <i/>
        <sz val="9"/>
        <color rgb="FF595959"/>
        <rFont val="Noto Sans CJK SC"/>
        <family val="2"/>
      </rPr>
      <t>月まで含み、日次上限なし。</t>
    </r>
    <r>
      <rPr>
        <i/>
        <sz val="9"/>
        <color rgb="FF595959"/>
        <rFont val="Arial"/>
        <charset val="1"/>
      </rPr>
      <t>Free</t>
    </r>
    <r>
      <rPr>
        <i/>
        <sz val="9"/>
        <color rgb="FF595959"/>
        <rFont val="Noto Sans CJK SC"/>
        <family val="2"/>
      </rPr>
      <t>プラン（</t>
    </r>
    <r>
      <rPr>
        <i/>
        <sz val="9"/>
        <color rgb="FF595959"/>
        <rFont val="Arial"/>
        <charset val="1"/>
      </rPr>
      <t>3,000</t>
    </r>
    <r>
      <rPr>
        <i/>
        <sz val="9"/>
        <color rgb="FF595959"/>
        <rFont val="Noto Sans CJK SC"/>
        <family val="2"/>
      </rPr>
      <t>通</t>
    </r>
    <r>
      <rPr>
        <i/>
        <sz val="9"/>
        <color rgb="FF595959"/>
        <rFont val="Arial"/>
        <charset val="1"/>
      </rPr>
      <t>/</t>
    </r>
    <r>
      <rPr>
        <i/>
        <sz val="9"/>
        <color rgb="FF595959"/>
        <rFont val="Noto Sans CJK SC"/>
        <family val="2"/>
      </rPr>
      <t>月・</t>
    </r>
    <r>
      <rPr>
        <i/>
        <sz val="9"/>
        <color rgb="FF595959"/>
        <rFont val="Arial"/>
        <charset val="1"/>
      </rPr>
      <t>100</t>
    </r>
    <r>
      <rPr>
        <i/>
        <sz val="9"/>
        <color rgb="FF595959"/>
        <rFont val="Noto Sans CJK SC"/>
        <family val="2"/>
      </rPr>
      <t>通</t>
    </r>
    <r>
      <rPr>
        <i/>
        <sz val="9"/>
        <color rgb="FF595959"/>
        <rFont val="Arial"/>
        <charset val="1"/>
      </rPr>
      <t>/</t>
    </r>
    <r>
      <rPr>
        <i/>
        <sz val="9"/>
        <color rgb="FF595959"/>
        <rFont val="Noto Sans CJK SC"/>
        <family val="2"/>
      </rPr>
      <t>日の日次上限あり）はニュース一斉配信時に日次上限へ抵触するリスクがあるため</t>
    </r>
    <r>
      <rPr>
        <i/>
        <sz val="9"/>
        <color rgb="FF595959"/>
        <rFont val="Arial"/>
        <charset val="1"/>
      </rPr>
      <t>Pro</t>
    </r>
    <r>
      <rPr>
        <i/>
        <sz val="9"/>
        <color rgb="FF595959"/>
        <rFont val="Noto Sans CJK SC"/>
        <family val="2"/>
      </rPr>
      <t>想定。出典</t>
    </r>
    <r>
      <rPr>
        <i/>
        <sz val="9"/>
        <color rgb="FF595959"/>
        <rFont val="Arial"/>
        <charset val="1"/>
      </rPr>
      <t>: resend.com/pricing</t>
    </r>
  </si>
  <si>
    <t>固定費 合計（月額）</t>
  </si>
  <si>
    <t>変動費（利用量に応じて発生する費用）</t>
  </si>
  <si>
    <t>「通常月」「繁忙月」は前提条件シートの決済・メール・データ転送の仮定値に連動して自動計算されます。</t>
  </si>
  <si>
    <t>単価・算出方法</t>
  </si>
  <si>
    <t>通常月 数量</t>
  </si>
  <si>
    <r>
      <rPr>
        <b/>
        <sz val="11"/>
        <color rgb="FFFFFFFF"/>
        <rFont val="Noto Sans CJK SC"/>
        <family val="2"/>
      </rPr>
      <t>通常月 コスト</t>
    </r>
    <r>
      <rPr>
        <b/>
        <sz val="11"/>
        <color rgb="FFFFFFFF"/>
        <rFont val="Arial"/>
        <charset val="1"/>
      </rPr>
      <t>(</t>
    </r>
    <r>
      <rPr>
        <b/>
        <sz val="11"/>
        <color rgb="FFFFFFFF"/>
        <rFont val="Noto Sans CJK SC"/>
        <family val="2"/>
      </rPr>
      <t>円</t>
    </r>
    <r>
      <rPr>
        <b/>
        <sz val="11"/>
        <color rgb="FFFFFFFF"/>
        <rFont val="Arial"/>
        <charset val="1"/>
      </rPr>
      <t>)</t>
    </r>
  </si>
  <si>
    <t>繁忙月 数量</t>
  </si>
  <si>
    <r>
      <rPr>
        <b/>
        <sz val="11"/>
        <color rgb="FFFFFFFF"/>
        <rFont val="Noto Sans CJK SC"/>
        <family val="2"/>
      </rPr>
      <t>繁忙月 コスト</t>
    </r>
    <r>
      <rPr>
        <b/>
        <sz val="11"/>
        <color rgb="FFFFFFFF"/>
        <rFont val="Arial"/>
        <charset val="1"/>
      </rPr>
      <t>(</t>
    </r>
    <r>
      <rPr>
        <b/>
        <sz val="11"/>
        <color rgb="FFFFFFFF"/>
        <rFont val="Noto Sans CJK SC"/>
        <family val="2"/>
      </rPr>
      <t>円</t>
    </r>
    <r>
      <rPr>
        <b/>
        <sz val="11"/>
        <color rgb="FFFFFFFF"/>
        <rFont val="Arial"/>
        <charset val="1"/>
      </rPr>
      <t>)</t>
    </r>
  </si>
  <si>
    <r>
      <rPr>
        <sz val="11"/>
        <color rgb="FF000000"/>
        <rFont val="Arial"/>
        <charset val="1"/>
      </rPr>
      <t xml:space="preserve">Stripe </t>
    </r>
    <r>
      <rPr>
        <sz val="11"/>
        <color rgb="FF000000"/>
        <rFont val="Noto Sans CJK SC"/>
        <family val="2"/>
      </rPr>
      <t>決済手数料（カード＋コンビニ払い）</t>
    </r>
  </si>
  <si>
    <r>
      <rPr>
        <sz val="11"/>
        <color rgb="FF000000"/>
        <rFont val="Noto Sans CJK SC"/>
        <family val="2"/>
      </rPr>
      <t>決済総額</t>
    </r>
    <r>
      <rPr>
        <sz val="11"/>
        <color rgb="FF000000"/>
        <rFont val="Arial"/>
        <charset val="1"/>
      </rPr>
      <t>(GMV) × 3.6%</t>
    </r>
  </si>
  <si>
    <r>
      <rPr>
        <i/>
        <sz val="9"/>
        <color rgb="FF595959"/>
        <rFont val="Noto Sans CJK SC"/>
        <family val="2"/>
      </rPr>
      <t>カード・コンビニ払いとも一律</t>
    </r>
    <r>
      <rPr>
        <i/>
        <sz val="9"/>
        <color rgb="FF595959"/>
        <rFont val="Arial"/>
        <charset val="1"/>
      </rPr>
      <t>3.6%</t>
    </r>
    <r>
      <rPr>
        <i/>
        <sz val="9"/>
        <color rgb="FF595959"/>
        <rFont val="Noto Sans CJK SC"/>
        <family val="2"/>
      </rPr>
      <t>として概算（コンビニ払いの最低手数料</t>
    </r>
    <r>
      <rPr>
        <i/>
        <sz val="9"/>
        <color rgb="FF595959"/>
        <rFont val="Arial"/>
        <charset val="1"/>
      </rPr>
      <t>¥120</t>
    </r>
    <r>
      <rPr>
        <i/>
        <sz val="9"/>
        <color rgb="FF595959"/>
        <rFont val="Noto Sans CJK SC"/>
        <family val="2"/>
      </rPr>
      <t>は通常想定する平均単価では下回らない）。決済総額</t>
    </r>
    <r>
      <rPr>
        <i/>
        <sz val="9"/>
        <color rgb="FF595959"/>
        <rFont val="Arial"/>
        <charset val="1"/>
      </rPr>
      <t>(GMV)</t>
    </r>
    <r>
      <rPr>
        <i/>
        <sz val="9"/>
        <color rgb="FF595959"/>
        <rFont val="Noto Sans CJK SC"/>
        <family val="2"/>
      </rPr>
      <t>＝決済件数</t>
    </r>
    <r>
      <rPr>
        <i/>
        <sz val="9"/>
        <color rgb="FF595959"/>
        <rFont val="Arial"/>
        <charset val="1"/>
      </rPr>
      <t>×</t>
    </r>
    <r>
      <rPr>
        <i/>
        <sz val="9"/>
        <color rgb="FF595959"/>
        <rFont val="Noto Sans CJK SC"/>
        <family val="2"/>
      </rPr>
      <t>平均決済単価。出典</t>
    </r>
    <r>
      <rPr>
        <i/>
        <sz val="9"/>
        <color rgb="FF595959"/>
        <rFont val="Arial"/>
        <charset val="1"/>
      </rPr>
      <t>: stripe.com/jp/pricing</t>
    </r>
  </si>
  <si>
    <r>
      <rPr>
        <sz val="11"/>
        <color rgb="FF000000"/>
        <rFont val="Arial"/>
        <charset val="1"/>
      </rPr>
      <t xml:space="preserve">Stripe </t>
    </r>
    <r>
      <rPr>
        <sz val="11"/>
        <color rgb="FF000000"/>
        <rFont val="Noto Sans CJK SC"/>
        <family val="2"/>
      </rPr>
      <t>コンビニ払い返金の追加手数料</t>
    </r>
  </si>
  <si>
    <r>
      <rPr>
        <sz val="11"/>
        <color rgb="FF000000"/>
        <rFont val="Noto Sans CJK SC"/>
        <family val="2"/>
      </rPr>
      <t xml:space="preserve">返金件数 </t>
    </r>
    <r>
      <rPr>
        <sz val="11"/>
        <color rgb="FF000000"/>
        <rFont val="Arial"/>
        <charset val="1"/>
      </rPr>
      <t>× ¥275/</t>
    </r>
    <r>
      <rPr>
        <sz val="11"/>
        <color rgb="FF000000"/>
        <rFont val="Noto Sans CJK SC"/>
        <family val="2"/>
      </rPr>
      <t>件</t>
    </r>
  </si>
  <si>
    <r>
      <rPr>
        <i/>
        <sz val="9"/>
        <color rgb="FF595959"/>
        <rFont val="Noto Sans CJK SC"/>
        <family val="2"/>
      </rPr>
      <t>全額返金のみ・運営判断でのみ実行という運用を想定。カード返金の追加手数料は</t>
    </r>
    <r>
      <rPr>
        <i/>
        <sz val="9"/>
        <color rgb="FF595959"/>
        <rFont val="Arial"/>
        <charset val="1"/>
      </rPr>
      <t>Stripe</t>
    </r>
    <r>
      <rPr>
        <i/>
        <sz val="9"/>
        <color rgb="FF595959"/>
        <rFont val="Noto Sans CJK SC"/>
        <family val="2"/>
      </rPr>
      <t>公式サイトに明記がないため</t>
    </r>
    <r>
      <rPr>
        <i/>
        <sz val="9"/>
        <color rgb="FF595959"/>
        <rFont val="Arial"/>
        <charset val="1"/>
      </rPr>
      <t>0</t>
    </r>
    <r>
      <rPr>
        <i/>
        <sz val="9"/>
        <color rgb="FF595959"/>
        <rFont val="Noto Sans CJK SC"/>
        <family val="2"/>
      </rPr>
      <t>円と仮定（要</t>
    </r>
    <r>
      <rPr>
        <i/>
        <sz val="9"/>
        <color rgb="FF595959"/>
        <rFont val="Arial"/>
        <charset val="1"/>
      </rPr>
      <t>Stripe</t>
    </r>
    <r>
      <rPr>
        <i/>
        <sz val="9"/>
        <color rgb="FF595959"/>
        <rFont val="Noto Sans CJK SC"/>
        <family val="2"/>
      </rPr>
      <t>サポートへの確認・別途</t>
    </r>
    <r>
      <rPr>
        <i/>
        <sz val="9"/>
        <color rgb="FF595959"/>
        <rFont val="Arial"/>
        <charset val="1"/>
      </rPr>
      <t>Open Issue</t>
    </r>
    <r>
      <rPr>
        <i/>
        <sz val="9"/>
        <color rgb="FF595959"/>
        <rFont val="Noto Sans CJK SC"/>
        <family val="2"/>
      </rPr>
      <t>）。</t>
    </r>
  </si>
  <si>
    <r>
      <rPr>
        <sz val="11"/>
        <color rgb="FF000000"/>
        <rFont val="Arial"/>
        <charset val="1"/>
      </rPr>
      <t xml:space="preserve">Railway </t>
    </r>
    <r>
      <rPr>
        <sz val="11"/>
        <color rgb="FF000000"/>
        <rFont val="Noto Sans CJK SC"/>
        <family val="2"/>
      </rPr>
      <t>従量課金（</t>
    </r>
    <r>
      <rPr>
        <sz val="11"/>
        <color rgb="FF000000"/>
        <rFont val="Arial"/>
        <charset val="1"/>
      </rPr>
      <t>$20</t>
    </r>
    <r>
      <rPr>
        <sz val="11"/>
        <color rgb="FF000000"/>
        <rFont val="Noto Sans CJK SC"/>
        <family val="2"/>
      </rPr>
      <t>クレジット超過分）</t>
    </r>
  </si>
  <si>
    <r>
      <rPr>
        <sz val="11"/>
        <color rgb="FF000000"/>
        <rFont val="Arial"/>
        <charset val="1"/>
      </rPr>
      <t>CPU $0.00000772/vCPU</t>
    </r>
    <r>
      <rPr>
        <sz val="11"/>
        <color rgb="FF000000"/>
        <rFont val="Noto Sans CJK SC"/>
        <family val="2"/>
      </rPr>
      <t xml:space="preserve">秒、メモリ </t>
    </r>
    <r>
      <rPr>
        <sz val="11"/>
        <color rgb="FF000000"/>
        <rFont val="Arial"/>
        <charset val="1"/>
      </rPr>
      <t>$0.00000386/GB</t>
    </r>
    <r>
      <rPr>
        <sz val="11"/>
        <color rgb="FF000000"/>
        <rFont val="Noto Sans CJK SC"/>
        <family val="2"/>
      </rPr>
      <t>秒</t>
    </r>
  </si>
  <si>
    <r>
      <rPr>
        <i/>
        <sz val="9"/>
        <color rgb="FF595959"/>
        <rFont val="Noto Sans CJK SC"/>
        <family val="2"/>
      </rPr>
      <t>同時接続</t>
    </r>
    <r>
      <rPr>
        <i/>
        <sz val="9"/>
        <color rgb="FF595959"/>
        <rFont val="Arial"/>
        <charset val="1"/>
      </rPr>
      <t>50</t>
    </r>
    <r>
      <rPr>
        <i/>
        <sz val="9"/>
        <color rgb="FF595959"/>
        <rFont val="Noto Sans CJK SC"/>
        <family val="2"/>
      </rPr>
      <t>名規模の</t>
    </r>
    <r>
      <rPr>
        <i/>
        <sz val="9"/>
        <color rgb="FF595959"/>
        <rFont val="Arial"/>
        <charset val="1"/>
      </rPr>
      <t>API</t>
    </r>
    <r>
      <rPr>
        <i/>
        <sz val="9"/>
        <color rgb="FF595959"/>
        <rFont val="Noto Sans CJK SC"/>
        <family val="2"/>
      </rPr>
      <t>サーバー負荷は通常月なら</t>
    </r>
    <r>
      <rPr>
        <i/>
        <sz val="9"/>
        <color rgb="FF595959"/>
        <rFont val="Arial"/>
        <charset val="1"/>
      </rPr>
      <t>$20</t>
    </r>
    <r>
      <rPr>
        <i/>
        <sz val="9"/>
        <color rgb="FF595959"/>
        <rFont val="Noto Sans CJK SC"/>
        <family val="2"/>
      </rPr>
      <t>クレジット内に収まる想定（</t>
    </r>
    <r>
      <rPr>
        <i/>
        <sz val="9"/>
        <color rgb="FF595959"/>
        <rFont val="Arial"/>
        <charset val="1"/>
      </rPr>
      <t>0</t>
    </r>
    <r>
      <rPr>
        <i/>
        <sz val="9"/>
        <color rgb="FF595959"/>
        <rFont val="Noto Sans CJK SC"/>
        <family val="2"/>
      </rPr>
      <t>ドル）。繁忙月はアクセス集中・</t>
    </r>
    <r>
      <rPr>
        <i/>
        <sz val="9"/>
        <color rgb="FF595959"/>
        <rFont val="Arial"/>
        <charset val="1"/>
      </rPr>
      <t>Webhook</t>
    </r>
    <r>
      <rPr>
        <i/>
        <sz val="9"/>
        <color rgb="FF595959"/>
        <rFont val="Noto Sans CJK SC"/>
        <family val="2"/>
      </rPr>
      <t>処理増を見込み</t>
    </r>
    <r>
      <rPr>
        <i/>
        <sz val="9"/>
        <color rgb="FF595959"/>
        <rFont val="Arial"/>
        <charset val="1"/>
      </rPr>
      <t>$15</t>
    </r>
    <r>
      <rPr>
        <i/>
        <sz val="9"/>
        <color rgb="FF595959"/>
        <rFont val="Noto Sans CJK SC"/>
        <family val="2"/>
      </rPr>
      <t>程度の超過を保守的に仮置き（要実測での見直し）。出典</t>
    </r>
    <r>
      <rPr>
        <i/>
        <sz val="9"/>
        <color rgb="FF595959"/>
        <rFont val="Arial"/>
        <charset val="1"/>
      </rPr>
      <t>: railway.com/pricing</t>
    </r>
  </si>
  <si>
    <r>
      <rPr>
        <sz val="11"/>
        <color rgb="FF000000"/>
        <rFont val="Arial"/>
        <charset val="1"/>
      </rPr>
      <t xml:space="preserve">Supabase </t>
    </r>
    <r>
      <rPr>
        <sz val="11"/>
        <color rgb="FF000000"/>
        <rFont val="Noto Sans CJK SC"/>
        <family val="2"/>
      </rPr>
      <t>従量課金（</t>
    </r>
    <r>
      <rPr>
        <sz val="11"/>
        <color rgb="FF000000"/>
        <rFont val="Arial"/>
        <charset val="1"/>
      </rPr>
      <t>Storage/Egress</t>
    </r>
    <r>
      <rPr>
        <sz val="11"/>
        <color rgb="FF000000"/>
        <rFont val="Noto Sans CJK SC"/>
        <family val="2"/>
      </rPr>
      <t>超過分）</t>
    </r>
  </si>
  <si>
    <r>
      <rPr>
        <sz val="11"/>
        <color rgb="FF000000"/>
        <rFont val="Arial"/>
        <charset val="1"/>
      </rPr>
      <t>Egress $0.09/GB</t>
    </r>
    <r>
      <rPr>
        <sz val="11"/>
        <color rgb="FF000000"/>
        <rFont val="Noto Sans CJK SC"/>
        <family val="2"/>
      </rPr>
      <t>、</t>
    </r>
    <r>
      <rPr>
        <sz val="11"/>
        <color rgb="FF000000"/>
        <rFont val="Arial"/>
        <charset val="1"/>
      </rPr>
      <t>Storage $0.0213/GB</t>
    </r>
    <r>
      <rPr>
        <sz val="11"/>
        <color rgb="FF000000"/>
        <rFont val="Noto Sans CJK SC"/>
        <family val="2"/>
      </rPr>
      <t>（</t>
    </r>
    <r>
      <rPr>
        <sz val="11"/>
        <color rgb="FF000000"/>
        <rFont val="Arial"/>
        <charset val="1"/>
      </rPr>
      <t>250GB/100GB</t>
    </r>
    <r>
      <rPr>
        <sz val="11"/>
        <color rgb="FF000000"/>
        <rFont val="Noto Sans CJK SC"/>
        <family val="2"/>
      </rPr>
      <t>超過分）</t>
    </r>
  </si>
  <si>
    <r>
      <rPr>
        <i/>
        <sz val="9"/>
        <color rgb="FF595959"/>
        <rFont val="Arial"/>
        <charset val="1"/>
      </rPr>
      <t>DB 8GB</t>
    </r>
    <r>
      <rPr>
        <i/>
        <sz val="9"/>
        <color rgb="FF595959"/>
        <rFont val="Noto Sans CJK SC"/>
        <family val="2"/>
      </rPr>
      <t>・</t>
    </r>
    <r>
      <rPr>
        <i/>
        <sz val="9"/>
        <color rgb="FF595959"/>
        <rFont val="Arial"/>
        <charset val="1"/>
      </rPr>
      <t>MAU 100,000</t>
    </r>
    <r>
      <rPr>
        <i/>
        <sz val="9"/>
        <color rgb="FF595959"/>
        <rFont val="Noto Sans CJK SC"/>
        <family val="2"/>
      </rPr>
      <t>名は</t>
    </r>
    <r>
      <rPr>
        <i/>
        <sz val="9"/>
        <color rgb="FF595959"/>
        <rFont val="Arial"/>
        <charset val="1"/>
      </rPr>
      <t>Pro</t>
    </r>
    <r>
      <rPr>
        <i/>
        <sz val="9"/>
        <color rgb="FF595959"/>
        <rFont val="Noto Sans CJK SC"/>
        <family val="2"/>
      </rPr>
      <t>込み枠内で登録</t>
    </r>
    <r>
      <rPr>
        <i/>
        <sz val="9"/>
        <color rgb="FF595959"/>
        <rFont val="Arial"/>
        <charset val="1"/>
      </rPr>
      <t>300</t>
    </r>
    <r>
      <rPr>
        <i/>
        <sz val="9"/>
        <color rgb="FF595959"/>
        <rFont val="Noto Sans CJK SC"/>
        <family val="2"/>
      </rPr>
      <t>名規模なら通常発生しない。催し物掲載等の画像配信量が多い繁忙月は</t>
    </r>
    <r>
      <rPr>
        <i/>
        <sz val="9"/>
        <color rgb="FF595959"/>
        <rFont val="Arial"/>
        <charset val="1"/>
      </rPr>
      <t>Storage Egress</t>
    </r>
    <r>
      <rPr>
        <i/>
        <sz val="9"/>
        <color rgb="FF595959"/>
        <rFont val="Noto Sans CJK SC"/>
        <family val="2"/>
      </rPr>
      <t>超過を</t>
    </r>
    <r>
      <rPr>
        <i/>
        <sz val="9"/>
        <color rgb="FF595959"/>
        <rFont val="Arial"/>
        <charset val="1"/>
      </rPr>
      <t>$5</t>
    </r>
    <r>
      <rPr>
        <i/>
        <sz val="9"/>
        <color rgb="FF595959"/>
        <rFont val="Noto Sans CJK SC"/>
        <family val="2"/>
      </rPr>
      <t>程度保守的に仮置き（要実測での見直し）。出典</t>
    </r>
    <r>
      <rPr>
        <i/>
        <sz val="9"/>
        <color rgb="FF595959"/>
        <rFont val="Arial"/>
        <charset val="1"/>
      </rPr>
      <t>: supabase.com/pricing</t>
    </r>
  </si>
  <si>
    <r>
      <rPr>
        <sz val="11"/>
        <color rgb="FF000000"/>
        <rFont val="Arial"/>
        <charset val="1"/>
      </rPr>
      <t xml:space="preserve">Vercel </t>
    </r>
    <r>
      <rPr>
        <sz val="11"/>
        <color rgb="FF000000"/>
        <rFont val="Noto Sans CJK SC"/>
        <family val="2"/>
      </rPr>
      <t>従量課金（帯域・リクエスト超過分）</t>
    </r>
  </si>
  <si>
    <r>
      <rPr>
        <sz val="11"/>
        <color rgb="FF000000"/>
        <rFont val="Arial"/>
        <charset val="1"/>
      </rPr>
      <t>Fast Data Transfer $0.15/GB</t>
    </r>
    <r>
      <rPr>
        <sz val="11"/>
        <color rgb="FF000000"/>
        <rFont val="Noto Sans CJK SC"/>
        <family val="2"/>
      </rPr>
      <t>（</t>
    </r>
    <r>
      <rPr>
        <sz val="11"/>
        <color rgb="FF000000"/>
        <rFont val="Arial"/>
        <charset val="1"/>
      </rPr>
      <t>1TB/</t>
    </r>
    <r>
      <rPr>
        <sz val="11"/>
        <color rgb="FF000000"/>
        <rFont val="Noto Sans CJK SC"/>
        <family val="2"/>
      </rPr>
      <t>月超過分）</t>
    </r>
  </si>
  <si>
    <r>
      <rPr>
        <i/>
        <sz val="9"/>
        <color rgb="FF595959"/>
        <rFont val="Arial"/>
        <charset val="1"/>
      </rPr>
      <t>Pro</t>
    </r>
    <r>
      <rPr>
        <i/>
        <sz val="9"/>
        <color rgb="FF595959"/>
        <rFont val="Noto Sans CJK SC"/>
        <family val="2"/>
      </rPr>
      <t>プランの含まれる</t>
    </r>
    <r>
      <rPr>
        <i/>
        <sz val="9"/>
        <color rgb="FF595959"/>
        <rFont val="Arial"/>
        <charset val="1"/>
      </rPr>
      <t>Fast Data Transfer 1TB(=1,024GB)/</t>
    </r>
    <r>
      <rPr>
        <i/>
        <sz val="9"/>
        <color rgb="FF595959"/>
        <rFont val="Noto Sans CJK SC"/>
        <family val="2"/>
      </rPr>
      <t>月に対し、通常月</t>
    </r>
    <r>
      <rPr>
        <i/>
        <sz val="9"/>
        <color rgb="FF595959"/>
        <rFont val="Arial"/>
        <charset val="1"/>
      </rPr>
      <t>50GB</t>
    </r>
    <r>
      <rPr>
        <i/>
        <sz val="9"/>
        <color rgb="FF595959"/>
        <rFont val="Noto Sans CJK SC"/>
        <family val="2"/>
      </rPr>
      <t>・繁忙月</t>
    </r>
    <r>
      <rPr>
        <i/>
        <sz val="9"/>
        <color rgb="FF595959"/>
        <rFont val="Arial"/>
        <charset val="1"/>
      </rPr>
      <t>300GB</t>
    </r>
    <r>
      <rPr>
        <i/>
        <sz val="9"/>
        <color rgb="FF595959"/>
        <rFont val="Noto Sans CJK SC"/>
        <family val="2"/>
      </rPr>
      <t>はいずれも枠内のため追加費用なし。枠を超える場合は</t>
    </r>
    <r>
      <rPr>
        <i/>
        <sz val="9"/>
        <color rgb="FF595959"/>
        <rFont val="Arial"/>
        <charset val="1"/>
      </rPr>
      <t>$0.15/GB</t>
    </r>
    <r>
      <rPr>
        <i/>
        <sz val="9"/>
        <color rgb="FF595959"/>
        <rFont val="Noto Sans CJK SC"/>
        <family val="2"/>
      </rPr>
      <t>が加算される。出典</t>
    </r>
    <r>
      <rPr>
        <i/>
        <sz val="9"/>
        <color rgb="FF595959"/>
        <rFont val="Arial"/>
        <charset val="1"/>
      </rPr>
      <t>: vercel.com/pricing</t>
    </r>
  </si>
  <si>
    <r>
      <rPr>
        <sz val="11"/>
        <color rgb="FF000000"/>
        <rFont val="Arial"/>
        <charset val="1"/>
      </rPr>
      <t xml:space="preserve">Resend </t>
    </r>
    <r>
      <rPr>
        <sz val="11"/>
        <color rgb="FF000000"/>
        <rFont val="Noto Sans CJK SC"/>
        <family val="2"/>
      </rPr>
      <t>従量課金（送信通数超過分）</t>
    </r>
  </si>
  <si>
    <r>
      <rPr>
        <sz val="11"/>
        <color rgb="FF000000"/>
        <rFont val="Arial"/>
        <charset val="1"/>
      </rPr>
      <t>$0.90 / 1,000</t>
    </r>
    <r>
      <rPr>
        <sz val="11"/>
        <color rgb="FF000000"/>
        <rFont val="Noto Sans CJK SC"/>
        <family val="2"/>
      </rPr>
      <t>通（</t>
    </r>
    <r>
      <rPr>
        <sz val="11"/>
        <color rgb="FF000000"/>
        <rFont val="Arial"/>
        <charset val="1"/>
      </rPr>
      <t>50,000</t>
    </r>
    <r>
      <rPr>
        <sz val="11"/>
        <color rgb="FF000000"/>
        <rFont val="Noto Sans CJK SC"/>
        <family val="2"/>
      </rPr>
      <t>通</t>
    </r>
    <r>
      <rPr>
        <sz val="11"/>
        <color rgb="FF000000"/>
        <rFont val="Arial"/>
        <charset val="1"/>
      </rPr>
      <t>/</t>
    </r>
    <r>
      <rPr>
        <sz val="11"/>
        <color rgb="FF000000"/>
        <rFont val="Noto Sans CJK SC"/>
        <family val="2"/>
      </rPr>
      <t>月超過分）</t>
    </r>
  </si>
  <si>
    <r>
      <rPr>
        <i/>
        <sz val="9"/>
        <color rgb="FF595959"/>
        <rFont val="Arial"/>
        <charset val="1"/>
      </rPr>
      <t>Pro</t>
    </r>
    <r>
      <rPr>
        <i/>
        <sz val="9"/>
        <color rgb="FF595959"/>
        <rFont val="Noto Sans CJK SC"/>
        <family val="2"/>
      </rPr>
      <t xml:space="preserve">プラン </t>
    </r>
    <r>
      <rPr>
        <i/>
        <sz val="9"/>
        <color rgb="FF595959"/>
        <rFont val="Arial"/>
        <charset val="1"/>
      </rPr>
      <t>included</t>
    </r>
    <r>
      <rPr>
        <i/>
        <sz val="9"/>
        <color rgb="FF595959"/>
        <rFont val="Noto Sans CJK SC"/>
        <family val="2"/>
      </rPr>
      <t>枠</t>
    </r>
    <r>
      <rPr>
        <i/>
        <sz val="9"/>
        <color rgb="FF595959"/>
        <rFont val="Arial"/>
        <charset val="1"/>
      </rPr>
      <t>50,000</t>
    </r>
    <r>
      <rPr>
        <i/>
        <sz val="9"/>
        <color rgb="FF595959"/>
        <rFont val="Noto Sans CJK SC"/>
        <family val="2"/>
      </rPr>
      <t>通</t>
    </r>
    <r>
      <rPr>
        <i/>
        <sz val="9"/>
        <color rgb="FF595959"/>
        <rFont val="Arial"/>
        <charset val="1"/>
      </rPr>
      <t>/</t>
    </r>
    <r>
      <rPr>
        <i/>
        <sz val="9"/>
        <color rgb="FF595959"/>
        <rFont val="Noto Sans CJK SC"/>
        <family val="2"/>
      </rPr>
      <t>月に対し、通常月</t>
    </r>
    <r>
      <rPr>
        <i/>
        <sz val="9"/>
        <color rgb="FF595959"/>
        <rFont val="Arial"/>
        <charset val="1"/>
      </rPr>
      <t>500</t>
    </r>
    <r>
      <rPr>
        <i/>
        <sz val="9"/>
        <color rgb="FF595959"/>
        <rFont val="Noto Sans CJK SC"/>
        <family val="2"/>
      </rPr>
      <t>通・繁忙月</t>
    </r>
    <r>
      <rPr>
        <i/>
        <sz val="9"/>
        <color rgb="FF595959"/>
        <rFont val="Arial"/>
        <charset val="1"/>
      </rPr>
      <t>3,000</t>
    </r>
    <r>
      <rPr>
        <i/>
        <sz val="9"/>
        <color rgb="FF595959"/>
        <rFont val="Noto Sans CJK SC"/>
        <family val="2"/>
      </rPr>
      <t>通はいずれも枠内のため追加費用なし。出典</t>
    </r>
    <r>
      <rPr>
        <i/>
        <sz val="9"/>
        <color rgb="FF595959"/>
        <rFont val="Arial"/>
        <charset val="1"/>
      </rPr>
      <t>: resend.com/pricing</t>
    </r>
  </si>
  <si>
    <t>変動費 合計（月額）</t>
  </si>
  <si>
    <r>
      <rPr>
        <b/>
        <sz val="14"/>
        <color rgb="FFFFFFFF"/>
        <rFont val="Arial"/>
        <charset val="1"/>
      </rPr>
      <t xml:space="preserve">off r39'x </t>
    </r>
    <r>
      <rPr>
        <b/>
        <sz val="14"/>
        <color rgb="FFFFFFFF"/>
        <rFont val="Noto Sans CJK SC"/>
        <family val="2"/>
      </rPr>
      <t>ランニングコスト試算 ― サマリー</t>
    </r>
  </si>
  <si>
    <t>通常月</t>
  </si>
  <si>
    <t>繁忙月</t>
  </si>
  <si>
    <t>備考</t>
  </si>
  <si>
    <r>
      <rPr>
        <i/>
        <sz val="9"/>
        <color rgb="FF595959"/>
        <rFont val="Arial"/>
        <charset val="1"/>
      </rPr>
      <t>Vercel</t>
    </r>
    <r>
      <rPr>
        <i/>
        <sz val="9"/>
        <color rgb="FF595959"/>
        <rFont val="Noto Sans CJK SC"/>
        <family val="2"/>
      </rPr>
      <t>・</t>
    </r>
    <r>
      <rPr>
        <i/>
        <sz val="9"/>
        <color rgb="FF595959"/>
        <rFont val="Arial"/>
        <charset val="1"/>
      </rPr>
      <t>Railway</t>
    </r>
    <r>
      <rPr>
        <i/>
        <sz val="9"/>
        <color rgb="FF595959"/>
        <rFont val="Noto Sans CJK SC"/>
        <family val="2"/>
      </rPr>
      <t>・</t>
    </r>
    <r>
      <rPr>
        <i/>
        <sz val="9"/>
        <color rgb="FF595959"/>
        <rFont val="Arial"/>
        <charset val="1"/>
      </rPr>
      <t>Supabase</t>
    </r>
    <r>
      <rPr>
        <i/>
        <sz val="9"/>
        <color rgb="FF595959"/>
        <rFont val="Noto Sans CJK SC"/>
        <family val="2"/>
      </rPr>
      <t>・</t>
    </r>
    <r>
      <rPr>
        <i/>
        <sz val="9"/>
        <color rgb="FF595959"/>
        <rFont val="Arial"/>
        <charset val="1"/>
      </rPr>
      <t>Resend</t>
    </r>
    <r>
      <rPr>
        <i/>
        <sz val="9"/>
        <color rgb="FF595959"/>
        <rFont val="Noto Sans CJK SC"/>
        <family val="2"/>
      </rPr>
      <t>の月額サブスクリプション合計（利用量に依存しない）</t>
    </r>
  </si>
  <si>
    <r>
      <rPr>
        <i/>
        <sz val="9"/>
        <color rgb="FF595959"/>
        <rFont val="Arial"/>
        <charset val="1"/>
      </rPr>
      <t>Stripe</t>
    </r>
    <r>
      <rPr>
        <i/>
        <sz val="9"/>
        <color rgb="FF595959"/>
        <rFont val="Noto Sans CJK SC"/>
        <family val="2"/>
      </rPr>
      <t>決済</t>
    </r>
    <r>
      <rPr>
        <i/>
        <sz val="9"/>
        <color rgb="FF595959"/>
        <rFont val="Arial"/>
        <charset val="1"/>
      </rPr>
      <t>/</t>
    </r>
    <r>
      <rPr>
        <i/>
        <sz val="9"/>
        <color rgb="FF595959"/>
        <rFont val="Noto Sans CJK SC"/>
        <family val="2"/>
      </rPr>
      <t>返金手数料＋各サービスの従量課金超過分（前提条件シートの仮定値で自動計算）</t>
    </r>
  </si>
  <si>
    <t>月額合計</t>
  </si>
  <si>
    <t>固定費＋変動費</t>
  </si>
  <si>
    <t>年間試算</t>
  </si>
  <si>
    <t>繁忙月の想定回数（年間、販売開始月・イベント開催月等）</t>
  </si>
  <si>
    <t>仮定値・要調整（チケット販売開始月、イベント開催月を想定）</t>
  </si>
  <si>
    <t>年間ランニングコスト試算</t>
  </si>
  <si>
    <r>
      <rPr>
        <i/>
        <sz val="9"/>
        <color rgb="FF595959"/>
        <rFont val="Noto Sans CJK SC"/>
        <family val="2"/>
      </rPr>
      <t>＝月額合計</t>
    </r>
    <r>
      <rPr>
        <i/>
        <sz val="9"/>
        <color rgb="FF595959"/>
        <rFont val="Arial"/>
        <charset val="1"/>
      </rPr>
      <t>(</t>
    </r>
    <r>
      <rPr>
        <i/>
        <sz val="9"/>
        <color rgb="FF595959"/>
        <rFont val="Noto Sans CJK SC"/>
        <family val="2"/>
      </rPr>
      <t>通常月</t>
    </r>
    <r>
      <rPr>
        <i/>
        <sz val="9"/>
        <color rgb="FF595959"/>
        <rFont val="Arial"/>
        <charset val="1"/>
      </rPr>
      <t>)×</t>
    </r>
    <r>
      <rPr>
        <i/>
        <sz val="9"/>
        <color rgb="FF595959"/>
        <rFont val="Noto Sans CJK SC"/>
        <family val="2"/>
      </rPr>
      <t>通常月数＋月額合計</t>
    </r>
    <r>
      <rPr>
        <i/>
        <sz val="9"/>
        <color rgb="FF595959"/>
        <rFont val="Arial"/>
        <charset val="1"/>
      </rPr>
      <t>(</t>
    </r>
    <r>
      <rPr>
        <i/>
        <sz val="9"/>
        <color rgb="FF595959"/>
        <rFont val="Noto Sans CJK SC"/>
        <family val="2"/>
      </rPr>
      <t>繁忙月</t>
    </r>
    <r>
      <rPr>
        <i/>
        <sz val="9"/>
        <color rgb="FF595959"/>
        <rFont val="Arial"/>
        <charset val="1"/>
      </rPr>
      <t>)×</t>
    </r>
    <r>
      <rPr>
        <i/>
        <sz val="9"/>
        <color rgb="FF595959"/>
        <rFont val="Noto Sans CJK SC"/>
        <family val="2"/>
      </rPr>
      <t>繁忙月数（消費税別）</t>
    </r>
  </si>
  <si>
    <t>注記・前提条件のまとめ</t>
  </si>
  <si>
    <r>
      <rPr>
        <i/>
        <sz val="9"/>
        <color rgb="FF595959"/>
        <rFont val="Noto Sans CJK SC"/>
        <family val="2"/>
      </rPr>
      <t>・対象スタック</t>
    </r>
    <r>
      <rPr>
        <i/>
        <sz val="9"/>
        <color rgb="FF595959"/>
        <rFont val="Arial"/>
        <charset val="1"/>
      </rPr>
      <t>: Vercel</t>
    </r>
    <r>
      <rPr>
        <i/>
        <sz val="9"/>
        <color rgb="FF595959"/>
        <rFont val="Noto Sans CJK SC"/>
        <family val="2"/>
      </rPr>
      <t>（</t>
    </r>
    <r>
      <rPr>
        <i/>
        <sz val="9"/>
        <color rgb="FF595959"/>
        <rFont val="Arial"/>
        <charset val="1"/>
      </rPr>
      <t>Web</t>
    </r>
    <r>
      <rPr>
        <i/>
        <sz val="9"/>
        <color rgb="FF595959"/>
        <rFont val="Noto Sans CJK SC"/>
        <family val="2"/>
      </rPr>
      <t>ホスティング）／</t>
    </r>
    <r>
      <rPr>
        <i/>
        <sz val="9"/>
        <color rgb="FF595959"/>
        <rFont val="Arial"/>
        <charset val="1"/>
      </rPr>
      <t>Railway</t>
    </r>
    <r>
      <rPr>
        <i/>
        <sz val="9"/>
        <color rgb="FF595959"/>
        <rFont val="Noto Sans CJK SC"/>
        <family val="2"/>
      </rPr>
      <t>（</t>
    </r>
    <r>
      <rPr>
        <i/>
        <sz val="9"/>
        <color rgb="FF595959"/>
        <rFont val="Arial"/>
        <charset val="1"/>
      </rPr>
      <t>API</t>
    </r>
    <r>
      <rPr>
        <i/>
        <sz val="9"/>
        <color rgb="FF595959"/>
        <rFont val="Noto Sans CJK SC"/>
        <family val="2"/>
      </rPr>
      <t>ホスティング）／</t>
    </r>
    <r>
      <rPr>
        <i/>
        <sz val="9"/>
        <color rgb="FF595959"/>
        <rFont val="Arial"/>
        <charset val="1"/>
      </rPr>
      <t>Supabase</t>
    </r>
    <r>
      <rPr>
        <i/>
        <sz val="9"/>
        <color rgb="FF595959"/>
        <rFont val="Noto Sans CJK SC"/>
        <family val="2"/>
      </rPr>
      <t>（</t>
    </r>
    <r>
      <rPr>
        <i/>
        <sz val="9"/>
        <color rgb="FF595959"/>
        <rFont val="Arial"/>
        <charset val="1"/>
      </rPr>
      <t>PostgreSQL DB + Auth</t>
    </r>
    <r>
      <rPr>
        <i/>
        <sz val="9"/>
        <color rgb="FF595959"/>
        <rFont val="Noto Sans CJK SC"/>
        <family val="2"/>
      </rPr>
      <t>）／</t>
    </r>
    <r>
      <rPr>
        <i/>
        <sz val="9"/>
        <color rgb="FF595959"/>
        <rFont val="Arial"/>
        <charset val="1"/>
      </rPr>
      <t>Stripe</t>
    </r>
    <r>
      <rPr>
        <i/>
        <sz val="9"/>
        <color rgb="FF595959"/>
        <rFont val="Noto Sans CJK SC"/>
        <family val="2"/>
      </rPr>
      <t>（決済・返金）／</t>
    </r>
    <r>
      <rPr>
        <i/>
        <sz val="9"/>
        <color rgb="FF595959"/>
        <rFont val="Arial"/>
        <charset val="1"/>
      </rPr>
      <t>Resend</t>
    </r>
    <r>
      <rPr>
        <i/>
        <sz val="9"/>
        <color rgb="FF595959"/>
        <rFont val="Noto Sans CJK SC"/>
        <family val="2"/>
      </rPr>
      <t>（メール配信）。</t>
    </r>
    <r>
      <rPr>
        <i/>
        <sz val="9"/>
        <color rgb="FF595959"/>
        <rFont val="Arial"/>
        <charset val="1"/>
      </rPr>
      <t xml:space="preserve">off r39'x </t>
    </r>
    <r>
      <rPr>
        <i/>
        <sz val="9"/>
        <color rgb="FF595959"/>
        <rFont val="Noto Sans CJK SC"/>
        <family val="2"/>
      </rPr>
      <t>の仕様書（</t>
    </r>
    <r>
      <rPr>
        <i/>
        <sz val="9"/>
        <color rgb="FF595959"/>
        <rFont val="Arial"/>
        <charset val="1"/>
      </rPr>
      <t xml:space="preserve">000-project-constitution.md </t>
    </r>
    <r>
      <rPr>
        <i/>
        <sz val="9"/>
        <color rgb="FF595959"/>
        <rFont val="Noto Sans CJK SC"/>
        <family val="2"/>
      </rPr>
      <t>ほか）が定める標準技術構成（</t>
    </r>
    <r>
      <rPr>
        <i/>
        <sz val="9"/>
        <color rgb="FF595959"/>
        <rFont val="Arial"/>
        <charset val="1"/>
      </rPr>
      <t>PRJ-060</t>
    </r>
    <r>
      <rPr>
        <i/>
        <sz val="9"/>
        <color rgb="FF595959"/>
        <rFont val="Noto Sans CJK SC"/>
        <family val="2"/>
      </rPr>
      <t>）に基づく。</t>
    </r>
  </si>
  <si>
    <r>
      <rPr>
        <i/>
        <sz val="9"/>
        <color rgb="FF595959"/>
        <rFont val="Noto Sans CJK SC"/>
        <family val="2"/>
      </rPr>
      <t>・「決済、返金、ログ確認などの利用」は、上記スタックの管理画面・監査ログ機能の範囲内で完結する想定とし、別途の</t>
    </r>
    <r>
      <rPr>
        <i/>
        <sz val="9"/>
        <color rgb="FF595959"/>
        <rFont val="Arial"/>
        <charset val="1"/>
      </rPr>
      <t>BI/</t>
    </r>
    <r>
      <rPr>
        <i/>
        <sz val="9"/>
        <color rgb="FF595959"/>
        <rFont val="Noto Sans CJK SC"/>
        <family val="2"/>
      </rPr>
      <t>監視</t>
    </r>
    <r>
      <rPr>
        <i/>
        <sz val="9"/>
        <color rgb="FF595959"/>
        <rFont val="Arial"/>
        <charset val="1"/>
      </rPr>
      <t>SaaS</t>
    </r>
    <r>
      <rPr>
        <i/>
        <sz val="9"/>
        <color rgb="FF595959"/>
        <rFont val="Noto Sans CJK SC"/>
        <family val="2"/>
      </rPr>
      <t>費用は計上していない。</t>
    </r>
  </si>
  <si>
    <r>
      <rPr>
        <i/>
        <sz val="9"/>
        <color rgb="FF595959"/>
        <rFont val="Noto Sans CJK SC"/>
        <family val="2"/>
      </rPr>
      <t>・「</t>
    </r>
    <r>
      <rPr>
        <i/>
        <sz val="9"/>
        <color rgb="FF595959"/>
        <rFont val="Arial"/>
        <charset val="1"/>
      </rPr>
      <t>Web</t>
    </r>
    <r>
      <rPr>
        <i/>
        <sz val="9"/>
        <color rgb="FF595959"/>
        <rFont val="Noto Sans CJK SC"/>
        <family val="2"/>
      </rPr>
      <t>ページを静的ホスティング」は、</t>
    </r>
    <r>
      <rPr>
        <i/>
        <sz val="9"/>
        <color rgb="FF595959"/>
        <rFont val="Arial"/>
        <charset val="1"/>
      </rPr>
      <t>Vercel</t>
    </r>
    <r>
      <rPr>
        <i/>
        <sz val="9"/>
        <color rgb="FF595959"/>
        <rFont val="Noto Sans CJK SC"/>
        <family val="2"/>
      </rPr>
      <t>上での</t>
    </r>
    <r>
      <rPr>
        <i/>
        <sz val="9"/>
        <color rgb="FF595959"/>
        <rFont val="Arial"/>
        <charset val="1"/>
      </rPr>
      <t>Next.js</t>
    </r>
    <r>
      <rPr>
        <i/>
        <sz val="9"/>
        <color rgb="FF595959"/>
        <rFont val="Noto Sans CJK SC"/>
        <family val="2"/>
      </rPr>
      <t>（</t>
    </r>
    <r>
      <rPr>
        <i/>
        <sz val="9"/>
        <color rgb="FF595959"/>
        <rFont val="Arial"/>
        <charset val="1"/>
      </rPr>
      <t>App Router</t>
    </r>
    <r>
      <rPr>
        <i/>
        <sz val="9"/>
        <color rgb="FF595959"/>
        <rFont val="Noto Sans CJK SC"/>
        <family val="2"/>
      </rPr>
      <t>）による静的生成</t>
    </r>
    <r>
      <rPr>
        <i/>
        <sz val="9"/>
        <color rgb="FF595959"/>
        <rFont val="Arial"/>
        <charset val="1"/>
      </rPr>
      <t>/ISR</t>
    </r>
    <r>
      <rPr>
        <i/>
        <sz val="9"/>
        <color rgb="FF595959"/>
        <rFont val="Noto Sans CJK SC"/>
        <family val="2"/>
      </rPr>
      <t>中心の配信（ニュース配信・催し物掲載を含む公開サイト）として整理し、</t>
    </r>
    <r>
      <rPr>
        <i/>
        <sz val="9"/>
        <color rgb="FF595959"/>
        <rFont val="Arial"/>
        <charset val="1"/>
      </rPr>
      <t>Vercel</t>
    </r>
    <r>
      <rPr>
        <i/>
        <sz val="9"/>
        <color rgb="FF595959"/>
        <rFont val="Noto Sans CJK SC"/>
        <family val="2"/>
      </rPr>
      <t>の固定費・変動費側に計上した。</t>
    </r>
  </si>
  <si>
    <r>
      <rPr>
        <i/>
        <sz val="9"/>
        <color rgb="FF595959"/>
        <rFont val="Noto Sans CJK SC"/>
        <family val="2"/>
      </rPr>
      <t>・登録</t>
    </r>
    <r>
      <rPr>
        <i/>
        <sz val="9"/>
        <color rgb="FF595959"/>
        <rFont val="Arial"/>
        <charset val="1"/>
      </rPr>
      <t>300</t>
    </r>
    <r>
      <rPr>
        <i/>
        <sz val="9"/>
        <color rgb="FF595959"/>
        <rFont val="Noto Sans CJK SC"/>
        <family val="2"/>
      </rPr>
      <t>名・同時</t>
    </r>
    <r>
      <rPr>
        <i/>
        <sz val="9"/>
        <color rgb="FF595959"/>
        <rFont val="Arial"/>
        <charset val="1"/>
      </rPr>
      <t>50</t>
    </r>
    <r>
      <rPr>
        <i/>
        <sz val="9"/>
        <color rgb="FF595959"/>
        <rFont val="Noto Sans CJK SC"/>
        <family val="2"/>
      </rPr>
      <t>名規模は、各サービスの</t>
    </r>
    <r>
      <rPr>
        <i/>
        <sz val="9"/>
        <color rgb="FF595959"/>
        <rFont val="Arial"/>
        <charset val="1"/>
      </rPr>
      <t>Pro/Hobby</t>
    </r>
    <r>
      <rPr>
        <i/>
        <sz val="9"/>
        <color rgb="FF595959"/>
        <rFont val="Noto Sans CJK SC"/>
        <family val="2"/>
      </rPr>
      <t>プランの下限枠に対して小規模であり、基本的には</t>
    </r>
    <r>
      <rPr>
        <i/>
        <sz val="9"/>
        <color rgb="FF595959"/>
        <rFont val="Arial"/>
        <charset val="1"/>
      </rPr>
      <t>Pro plan</t>
    </r>
    <r>
      <rPr>
        <i/>
        <sz val="9"/>
        <color rgb="FF595959"/>
        <rFont val="Noto Sans CJK SC"/>
        <family val="2"/>
      </rPr>
      <t>（商用利用・</t>
    </r>
    <r>
      <rPr>
        <i/>
        <sz val="9"/>
        <color rgb="FF595959"/>
        <rFont val="Arial"/>
        <charset val="1"/>
      </rPr>
      <t>SLA</t>
    </r>
    <r>
      <rPr>
        <i/>
        <sz val="9"/>
        <color rgb="FF595959"/>
        <rFont val="Noto Sans CJK SC"/>
        <family val="2"/>
      </rPr>
      <t>・チーム機能のため）の固定費内で収まる設計とした。</t>
    </r>
  </si>
  <si>
    <t>・決済件数・平均単価・メール数・データ転送量は仮の仮定値。前提条件シートの黄色セルを実績・事業計画に合わせて更新すると、本シートの金額は自動的に再計算される。</t>
  </si>
  <si>
    <r>
      <rPr>
        <i/>
        <sz val="9"/>
        <color rgb="FF595959"/>
        <rFont val="Noto Sans CJK SC"/>
        <family val="2"/>
      </rPr>
      <t>・為替（</t>
    </r>
    <r>
      <rPr>
        <i/>
        <sz val="9"/>
        <color rgb="FF595959"/>
        <rFont val="Arial"/>
        <charset val="1"/>
      </rPr>
      <t>USD→JPY</t>
    </r>
    <r>
      <rPr>
        <i/>
        <sz val="9"/>
        <color rgb="FF595959"/>
        <rFont val="Noto Sans CJK SC"/>
        <family val="2"/>
      </rPr>
      <t>）は変動するため、実際の請求額は請求時点のレートにより前後する。</t>
    </r>
  </si>
  <si>
    <t>・本試算はインフラ利用料および決済手数料のみを対象とし、消費税、ドメイン費用、開発・運用人件費、第三者監査費用等は含まない。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</si>
</sst>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\¥#,##0"/>
    <numFmt numFmtId="177" formatCode="0.0%"/>
    <numFmt numFmtId="178" formatCode="\$#,##0"/>
    <numFmt numFmtId="179" formatCode="#,##0&quot; GB&quot;"/>
    <numFmt numFmtId="180" formatCode="#,##0&quot; 通&quot;"/>
    <numFmt numFmtId="181" formatCode="#,##0&quot; ヶ月&quot;"/>
  </numFmts>
  <fonts count="15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4"/>
      <color rgb="FFFFFFFF"/>
      <name val="Noto Sans CJK SC"/>
      <family val="2"/>
    </font>
    <font>
      <i/>
      <sz val="9"/>
      <color rgb="FF595959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1F4E78"/>
      <name val="Noto Sans CJK SC"/>
      <family val="2"/>
    </font>
    <font>
      <sz val="11"/>
      <color rgb="FF000000"/>
      <name val="Arial"/>
      <charset val="1"/>
    </font>
    <font>
      <sz val="11"/>
      <color rgb="FF000000"/>
      <name val="Noto Sans CJK SC"/>
      <family val="2"/>
    </font>
    <font>
      <sz val="11"/>
      <color rgb="FF0000FF"/>
      <name val="Arial"/>
      <charset val="1"/>
    </font>
    <font>
      <i/>
      <sz val="9"/>
      <color rgb="FF595959"/>
      <name val="Arial"/>
      <charset val="1"/>
    </font>
    <font>
      <b/>
      <sz val="11"/>
      <color rgb="FF0000FF"/>
      <name val="Arial"/>
      <charset val="1"/>
    </font>
    <font>
      <b/>
      <sz val="11"/>
      <color rgb="FF1F4E78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Noto Sans CJK SC"/>
      <family val="2"/>
    </font>
    <font>
      <b/>
      <sz val="11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 applyBorder="1" applyAlignment="1">
      <alignment vertical="top" wrapText="1"/>
    </xf>
    <xf numFmtId="0" fontId="2" fillId="2" borderId="0" xfId="0" applyFont="1" applyFill="1" applyBorder="1" applyAlignment="1">
      <alignment horizontal="left" vertical="center" indent="1"/>
    </xf>
    <xf numFmtId="0" fontId="11" fillId="4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8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vertical="center" wrapText="1"/>
    </xf>
    <xf numFmtId="0" fontId="7" fillId="0" borderId="1" xfId="0" applyFont="1" applyBorder="1"/>
    <xf numFmtId="0" fontId="3" fillId="0" borderId="1" xfId="0" applyFont="1" applyBorder="1" applyAlignment="1">
      <alignment vertical="center" wrapText="1"/>
    </xf>
    <xf numFmtId="0" fontId="10" fillId="5" borderId="1" xfId="0" applyFont="1" applyFill="1" applyBorder="1" applyAlignment="1">
      <alignment horizontal="right"/>
    </xf>
    <xf numFmtId="176" fontId="10" fillId="5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177" fontId="8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3" fillId="6" borderId="1" xfId="0" applyFont="1" applyFill="1" applyBorder="1"/>
    <xf numFmtId="178" fontId="14" fillId="6" borderId="1" xfId="0" applyNumberFormat="1" applyFont="1" applyFill="1" applyBorder="1"/>
    <xf numFmtId="176" fontId="14" fillId="6" borderId="1" xfId="0" applyNumberFormat="1" applyFont="1" applyFill="1" applyBorder="1"/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3" fontId="6" fillId="0" borderId="1" xfId="0" applyNumberFormat="1" applyFont="1" applyBorder="1" applyAlignment="1">
      <alignment horizontal="right" vertical="center"/>
    </xf>
    <xf numFmtId="179" fontId="6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0" fontId="0" fillId="6" borderId="1" xfId="0" applyFill="1" applyBorder="1"/>
    <xf numFmtId="0" fontId="7" fillId="0" borderId="1" xfId="0" applyFont="1" applyBorder="1" applyAlignment="1">
      <alignment horizontal="left" vertical="center" wrapText="1"/>
    </xf>
    <xf numFmtId="176" fontId="6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left" vertical="center" wrapText="1"/>
    </xf>
    <xf numFmtId="0" fontId="3" fillId="6" borderId="1" xfId="0" applyFont="1" applyFill="1" applyBorder="1"/>
    <xf numFmtId="181" fontId="10" fillId="5" borderId="1" xfId="0" applyNumberFormat="1" applyFont="1" applyFill="1" applyBorder="1"/>
    <xf numFmtId="0" fontId="3" fillId="0" borderId="0" xfId="0" applyFont="1" applyBorder="1" applyAlignment="1"/>
    <xf numFmtId="0" fontId="13" fillId="6" borderId="1" xfId="0" applyFont="1" applyFill="1" applyBorder="1" applyAlignment="1"/>
    <xf numFmtId="0" fontId="5" fillId="4" borderId="0" xfId="0" applyFont="1" applyFill="1" applyBorder="1" applyAlignment="1"/>
    <xf numFmtId="0" fontId="3" fillId="0" borderId="1" xfId="0" applyFont="1" applyBorder="1" applyAlignment="1"/>
    <xf numFmtId="0" fontId="3" fillId="6" borderId="1" xfId="0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showGridLines="0" tabSelected="1" zoomScaleNormal="100" workbookViewId="0">
      <pane ySplit="4" topLeftCell="A5" activePane="bottomLeft" state="frozen"/>
      <selection pane="bottomLeft" activeCell="B8" sqref="B8"/>
    </sheetView>
  </sheetViews>
  <sheetFormatPr defaultColWidth="8.7109375" defaultRowHeight="15"/>
  <cols>
    <col min="1" max="1" width="30" customWidth="1"/>
    <col min="2" max="3" width="14" customWidth="1"/>
    <col min="4" max="4" width="55" customWidth="1"/>
  </cols>
  <sheetData>
    <row r="1" spans="1:4" ht="25.5" customHeight="1">
      <c r="A1" s="5" t="s">
        <v>0</v>
      </c>
      <c r="B1" s="5"/>
      <c r="C1" s="5"/>
      <c r="D1" s="5"/>
    </row>
    <row r="2" spans="1:4">
      <c r="A2" s="36" t="s">
        <v>1</v>
      </c>
      <c r="B2" s="36"/>
      <c r="C2" s="36"/>
      <c r="D2" s="36"/>
    </row>
    <row r="4" spans="1:4" ht="17.100000000000001">
      <c r="A4" s="6" t="s">
        <v>2</v>
      </c>
      <c r="B4" s="6" t="s">
        <v>3</v>
      </c>
      <c r="C4" s="6" t="s">
        <v>4</v>
      </c>
      <c r="D4" s="6" t="s">
        <v>5</v>
      </c>
    </row>
    <row r="5" spans="1:4">
      <c r="A5" s="4" t="s">
        <v>6</v>
      </c>
      <c r="B5" s="4"/>
      <c r="C5" s="4"/>
      <c r="D5" s="4"/>
    </row>
    <row r="6" spans="1:4" ht="26.85">
      <c r="A6" s="7" t="s">
        <v>7</v>
      </c>
      <c r="B6" s="8">
        <v>156</v>
      </c>
      <c r="C6" s="9" t="s">
        <v>8</v>
      </c>
      <c r="D6" s="10" t="s">
        <v>9</v>
      </c>
    </row>
    <row r="7" spans="1:4">
      <c r="A7" s="4" t="s">
        <v>10</v>
      </c>
      <c r="B7" s="4"/>
      <c r="C7" s="4"/>
      <c r="D7" s="4"/>
    </row>
    <row r="8" spans="1:4">
      <c r="A8" s="11" t="s">
        <v>11</v>
      </c>
      <c r="B8" s="8">
        <v>300</v>
      </c>
      <c r="C8" s="9" t="s">
        <v>12</v>
      </c>
      <c r="D8" s="12" t="s">
        <v>13</v>
      </c>
    </row>
    <row r="9" spans="1:4">
      <c r="A9" s="11" t="s">
        <v>14</v>
      </c>
      <c r="B9" s="8">
        <v>50</v>
      </c>
      <c r="C9" s="9" t="s">
        <v>12</v>
      </c>
      <c r="D9" s="12" t="s">
        <v>15</v>
      </c>
    </row>
    <row r="10" spans="1:4">
      <c r="A10" s="4" t="s">
        <v>16</v>
      </c>
      <c r="B10" s="4"/>
      <c r="C10" s="4"/>
      <c r="D10" s="4"/>
    </row>
    <row r="11" spans="1:4" ht="17.100000000000001">
      <c r="A11" s="11" t="s">
        <v>17</v>
      </c>
      <c r="B11" s="13">
        <v>20</v>
      </c>
      <c r="C11" s="9" t="s">
        <v>18</v>
      </c>
      <c r="D11" s="12" t="s">
        <v>19</v>
      </c>
    </row>
    <row r="12" spans="1:4">
      <c r="A12" s="11" t="s">
        <v>20</v>
      </c>
      <c r="B12" s="14">
        <v>4000</v>
      </c>
      <c r="C12" s="9" t="s">
        <v>21</v>
      </c>
      <c r="D12" s="12" t="s">
        <v>19</v>
      </c>
    </row>
    <row r="13" spans="1:4" ht="17.100000000000001">
      <c r="A13" s="11" t="s">
        <v>22</v>
      </c>
      <c r="B13" s="8">
        <v>1</v>
      </c>
      <c r="C13" s="9" t="s">
        <v>18</v>
      </c>
      <c r="D13" s="12" t="s">
        <v>23</v>
      </c>
    </row>
    <row r="14" spans="1:4">
      <c r="A14" s="4" t="s">
        <v>24</v>
      </c>
      <c r="B14" s="4"/>
      <c r="C14" s="4"/>
      <c r="D14" s="4"/>
    </row>
    <row r="15" spans="1:4" ht="17.100000000000001">
      <c r="A15" s="11" t="s">
        <v>25</v>
      </c>
      <c r="B15" s="13">
        <v>250</v>
      </c>
      <c r="C15" s="9" t="s">
        <v>18</v>
      </c>
      <c r="D15" s="12" t="s">
        <v>26</v>
      </c>
    </row>
    <row r="16" spans="1:4">
      <c r="A16" s="11" t="s">
        <v>27</v>
      </c>
      <c r="B16" s="14">
        <v>5000</v>
      </c>
      <c r="C16" s="9" t="s">
        <v>21</v>
      </c>
      <c r="D16" s="12" t="s">
        <v>19</v>
      </c>
    </row>
    <row r="17" spans="1:4" ht="17.100000000000001">
      <c r="A17" s="11" t="s">
        <v>28</v>
      </c>
      <c r="B17" s="8">
        <v>5</v>
      </c>
      <c r="C17" s="9" t="s">
        <v>18</v>
      </c>
      <c r="D17" s="12" t="s">
        <v>19</v>
      </c>
    </row>
    <row r="18" spans="1:4" ht="17.100000000000001">
      <c r="A18" s="4" t="s">
        <v>29</v>
      </c>
      <c r="B18" s="4"/>
      <c r="C18" s="4"/>
      <c r="D18" s="4"/>
    </row>
    <row r="19" spans="1:4" ht="17.100000000000001">
      <c r="A19" s="11" t="s">
        <v>30</v>
      </c>
      <c r="B19" s="8">
        <v>500</v>
      </c>
      <c r="C19" s="9" t="s">
        <v>31</v>
      </c>
      <c r="D19" s="12" t="s">
        <v>19</v>
      </c>
    </row>
    <row r="20" spans="1:4" ht="17.100000000000001">
      <c r="A20" s="11" t="s">
        <v>32</v>
      </c>
      <c r="B20" s="8">
        <v>3000</v>
      </c>
      <c r="C20" s="9" t="s">
        <v>31</v>
      </c>
      <c r="D20" s="12" t="s">
        <v>33</v>
      </c>
    </row>
    <row r="21" spans="1:4" ht="17.100000000000001">
      <c r="A21" s="3" t="s">
        <v>34</v>
      </c>
      <c r="B21" s="3"/>
      <c r="C21" s="3"/>
      <c r="D21" s="3"/>
    </row>
    <row r="22" spans="1:4" ht="17.100000000000001">
      <c r="A22" s="11" t="s">
        <v>35</v>
      </c>
      <c r="B22" s="8">
        <v>50</v>
      </c>
      <c r="C22" s="15" t="s">
        <v>36</v>
      </c>
      <c r="D22" s="12" t="s">
        <v>19</v>
      </c>
    </row>
    <row r="23" spans="1:4" ht="17.100000000000001">
      <c r="A23" s="11" t="s">
        <v>37</v>
      </c>
      <c r="B23" s="8">
        <v>300</v>
      </c>
      <c r="C23" s="15" t="s">
        <v>36</v>
      </c>
      <c r="D23" s="12" t="s">
        <v>38</v>
      </c>
    </row>
    <row r="24" spans="1:4" ht="17.100000000000001">
      <c r="A24" s="3" t="s">
        <v>39</v>
      </c>
      <c r="B24" s="3"/>
      <c r="C24" s="3"/>
      <c r="D24" s="3"/>
    </row>
    <row r="25" spans="1:4">
      <c r="A25" s="11" t="s">
        <v>40</v>
      </c>
      <c r="B25" s="16">
        <v>3.5999999999999997E-2</v>
      </c>
      <c r="C25" s="15" t="s">
        <v>41</v>
      </c>
      <c r="D25" s="10" t="s">
        <v>42</v>
      </c>
    </row>
    <row r="26" spans="1:4">
      <c r="A26" s="11" t="s">
        <v>43</v>
      </c>
      <c r="B26" s="16">
        <v>3.5999999999999997E-2</v>
      </c>
      <c r="C26" s="15" t="s">
        <v>41</v>
      </c>
      <c r="D26" s="10" t="s">
        <v>44</v>
      </c>
    </row>
    <row r="27" spans="1:4" ht="17.100000000000001">
      <c r="A27" s="11" t="s">
        <v>45</v>
      </c>
      <c r="B27" s="8">
        <v>120</v>
      </c>
      <c r="C27" s="9" t="s">
        <v>46</v>
      </c>
      <c r="D27" s="10" t="s">
        <v>42</v>
      </c>
    </row>
    <row r="28" spans="1:4" ht="26.85">
      <c r="A28" s="11" t="s">
        <v>47</v>
      </c>
      <c r="B28" s="8">
        <v>275</v>
      </c>
      <c r="C28" s="9" t="s">
        <v>46</v>
      </c>
      <c r="D28" s="10" t="s">
        <v>48</v>
      </c>
    </row>
  </sheetData>
  <mergeCells count="9">
    <mergeCell ref="A14:D14"/>
    <mergeCell ref="A18:D18"/>
    <mergeCell ref="A21:D21"/>
    <mergeCell ref="A24:D24"/>
    <mergeCell ref="A1:D1"/>
    <mergeCell ref="A2:D2"/>
    <mergeCell ref="A5:D5"/>
    <mergeCell ref="A7:D7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showGridLines="0" zoomScaleNormal="100" workbookViewId="0">
      <pane ySplit="3" topLeftCell="A4" activePane="bottomLeft" state="frozen"/>
      <selection pane="bottomLeft" activeCell="D11" sqref="D11"/>
    </sheetView>
  </sheetViews>
  <sheetFormatPr defaultColWidth="8.7109375" defaultRowHeight="15"/>
  <cols>
    <col min="1" max="1" width="16" customWidth="1"/>
    <col min="2" max="2" width="24" customWidth="1"/>
    <col min="3" max="3" width="14" customWidth="1"/>
    <col min="4" max="4" width="16" customWidth="1"/>
    <col min="5" max="5" width="60" customWidth="1"/>
  </cols>
  <sheetData>
    <row r="1" spans="1:5" ht="25.5" customHeight="1">
      <c r="A1" s="2" t="s">
        <v>49</v>
      </c>
      <c r="B1" s="2"/>
      <c r="C1" s="2"/>
      <c r="D1" s="2"/>
      <c r="E1" s="2"/>
    </row>
    <row r="3" spans="1:5" ht="17.100000000000001">
      <c r="A3" s="6" t="s">
        <v>50</v>
      </c>
      <c r="B3" s="6" t="s">
        <v>51</v>
      </c>
      <c r="C3" s="6" t="s">
        <v>52</v>
      </c>
      <c r="D3" s="6" t="s">
        <v>53</v>
      </c>
      <c r="E3" s="6" t="s">
        <v>54</v>
      </c>
    </row>
    <row r="4" spans="1:5" ht="63.75" customHeight="1">
      <c r="A4" s="17" t="s">
        <v>55</v>
      </c>
      <c r="B4" s="17" t="s">
        <v>56</v>
      </c>
      <c r="C4" s="18">
        <v>20</v>
      </c>
      <c r="D4" s="19">
        <f>C4*前提条件!$B$6</f>
        <v>3120</v>
      </c>
      <c r="E4" s="20" t="s">
        <v>57</v>
      </c>
    </row>
    <row r="5" spans="1:5" ht="63.75" customHeight="1">
      <c r="A5" s="17" t="s">
        <v>58</v>
      </c>
      <c r="B5" s="17" t="s">
        <v>59</v>
      </c>
      <c r="C5" s="18">
        <v>20</v>
      </c>
      <c r="D5" s="19">
        <f>C5*前提条件!$B$6</f>
        <v>3120</v>
      </c>
      <c r="E5" s="20" t="s">
        <v>60</v>
      </c>
    </row>
    <row r="6" spans="1:5" ht="63.75" customHeight="1">
      <c r="A6" s="17" t="s">
        <v>61</v>
      </c>
      <c r="B6" s="17" t="s">
        <v>56</v>
      </c>
      <c r="C6" s="18">
        <v>25</v>
      </c>
      <c r="D6" s="19">
        <f>C6*前提条件!$B$6</f>
        <v>3900</v>
      </c>
      <c r="E6" s="20" t="s">
        <v>62</v>
      </c>
    </row>
    <row r="7" spans="1:5" ht="63.75" customHeight="1">
      <c r="A7" s="17" t="s">
        <v>63</v>
      </c>
      <c r="B7" s="17" t="s">
        <v>56</v>
      </c>
      <c r="C7" s="18">
        <v>20</v>
      </c>
      <c r="D7" s="19">
        <f>C7*前提条件!$B$6</f>
        <v>3120</v>
      </c>
      <c r="E7" s="21" t="s">
        <v>64</v>
      </c>
    </row>
    <row r="8" spans="1:5">
      <c r="A8" s="37" t="s">
        <v>65</v>
      </c>
      <c r="B8" s="37"/>
      <c r="C8" s="23">
        <f>SUM(C4:C7)</f>
        <v>85</v>
      </c>
      <c r="D8" s="24">
        <f>SUM(D4:D7)</f>
        <v>13260</v>
      </c>
    </row>
  </sheetData>
  <mergeCells count="2">
    <mergeCell ref="A1:E1"/>
    <mergeCell ref="A8:B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showGridLines="0" zoomScaleNormal="100" workbookViewId="0">
      <pane ySplit="3" topLeftCell="A4" activePane="bottomLeft" state="frozen"/>
      <selection pane="bottomLeft" activeCell="B1" sqref="B1:B1048576"/>
    </sheetView>
  </sheetViews>
  <sheetFormatPr defaultColWidth="8.7109375" defaultRowHeight="15"/>
  <cols>
    <col min="1" max="1" width="35.5703125" customWidth="1"/>
    <col min="2" max="2" width="28.7109375" customWidth="1"/>
    <col min="3" max="6" width="16" customWidth="1"/>
    <col min="7" max="7" width="63.140625" customWidth="1"/>
  </cols>
  <sheetData>
    <row r="1" spans="1:7" ht="25.5" customHeight="1">
      <c r="A1" s="2" t="s">
        <v>66</v>
      </c>
      <c r="B1" s="2"/>
      <c r="C1" s="2"/>
      <c r="D1" s="2"/>
      <c r="E1" s="2"/>
      <c r="F1" s="2"/>
      <c r="G1" s="2"/>
    </row>
    <row r="2" spans="1:7">
      <c r="A2" s="36" t="s">
        <v>67</v>
      </c>
      <c r="B2" s="36"/>
      <c r="C2" s="36"/>
      <c r="D2" s="36"/>
      <c r="E2" s="36"/>
      <c r="F2" s="36"/>
      <c r="G2" s="36"/>
    </row>
    <row r="3" spans="1:7" ht="32.85">
      <c r="A3" s="6" t="s">
        <v>2</v>
      </c>
      <c r="B3" s="6" t="s">
        <v>68</v>
      </c>
      <c r="C3" s="6" t="s">
        <v>69</v>
      </c>
      <c r="D3" s="6" t="s">
        <v>70</v>
      </c>
      <c r="E3" s="6" t="s">
        <v>71</v>
      </c>
      <c r="F3" s="6" t="s">
        <v>72</v>
      </c>
      <c r="G3" s="6" t="s">
        <v>5</v>
      </c>
    </row>
    <row r="4" spans="1:7" ht="48" customHeight="1">
      <c r="A4" s="25" t="s">
        <v>73</v>
      </c>
      <c r="B4" s="26" t="s">
        <v>74</v>
      </c>
      <c r="C4" s="19">
        <f>前提条件!$B$11*前提条件!$B$12</f>
        <v>80000</v>
      </c>
      <c r="D4" s="19">
        <f>C4*前提条件!$B$25</f>
        <v>2880</v>
      </c>
      <c r="E4" s="19">
        <f>前提条件!$B$15*前提条件!$B$16</f>
        <v>1250000</v>
      </c>
      <c r="F4" s="19">
        <f>E4*前提条件!$B$25</f>
        <v>45000</v>
      </c>
      <c r="G4" s="21" t="s">
        <v>75</v>
      </c>
    </row>
    <row r="5" spans="1:7" ht="48" customHeight="1">
      <c r="A5" s="25" t="s">
        <v>76</v>
      </c>
      <c r="B5" s="26" t="s">
        <v>77</v>
      </c>
      <c r="C5" s="27">
        <f>前提条件!$B$13</f>
        <v>1</v>
      </c>
      <c r="D5" s="19">
        <f>C5*前提条件!$B$28</f>
        <v>275</v>
      </c>
      <c r="E5" s="27">
        <f>前提条件!$B$17</f>
        <v>5</v>
      </c>
      <c r="F5" s="19">
        <f>E5*前提条件!$B$28</f>
        <v>1375</v>
      </c>
      <c r="G5" s="21" t="s">
        <v>78</v>
      </c>
    </row>
    <row r="6" spans="1:7" ht="48" customHeight="1">
      <c r="A6" s="25" t="s">
        <v>79</v>
      </c>
      <c r="B6" s="25" t="s">
        <v>80</v>
      </c>
      <c r="C6" s="18">
        <v>0</v>
      </c>
      <c r="D6" s="19">
        <f>C6*前提条件!$B$6</f>
        <v>0</v>
      </c>
      <c r="E6" s="18">
        <v>15</v>
      </c>
      <c r="F6" s="19">
        <f>E6*前提条件!$B$6</f>
        <v>2340</v>
      </c>
      <c r="G6" s="21" t="s">
        <v>81</v>
      </c>
    </row>
    <row r="7" spans="1:7" ht="48" customHeight="1">
      <c r="A7" s="25" t="s">
        <v>82</v>
      </c>
      <c r="B7" s="25" t="s">
        <v>83</v>
      </c>
      <c r="C7" s="18">
        <v>0</v>
      </c>
      <c r="D7" s="19">
        <f>C7*前提条件!$B$6</f>
        <v>0</v>
      </c>
      <c r="E7" s="18">
        <v>5</v>
      </c>
      <c r="F7" s="19">
        <f>E7*前提条件!$B$6</f>
        <v>780</v>
      </c>
      <c r="G7" s="20" t="s">
        <v>84</v>
      </c>
    </row>
    <row r="8" spans="1:7" ht="48" customHeight="1">
      <c r="A8" s="25" t="s">
        <v>85</v>
      </c>
      <c r="B8" s="25" t="s">
        <v>86</v>
      </c>
      <c r="C8" s="28">
        <f>前提条件!$B$22</f>
        <v>50</v>
      </c>
      <c r="D8" s="19">
        <v>0</v>
      </c>
      <c r="E8" s="28">
        <f>前提条件!$B$23</f>
        <v>300</v>
      </c>
      <c r="F8" s="19">
        <v>0</v>
      </c>
      <c r="G8" s="20" t="s">
        <v>87</v>
      </c>
    </row>
    <row r="9" spans="1:7" ht="48" customHeight="1">
      <c r="A9" s="25" t="s">
        <v>88</v>
      </c>
      <c r="B9" s="25" t="s">
        <v>89</v>
      </c>
      <c r="C9" s="29">
        <f>前提条件!$B$19</f>
        <v>500</v>
      </c>
      <c r="D9" s="19">
        <v>0</v>
      </c>
      <c r="E9" s="29">
        <f>前提条件!$B$20</f>
        <v>3000</v>
      </c>
      <c r="F9" s="19">
        <v>0</v>
      </c>
      <c r="G9" s="20" t="s">
        <v>90</v>
      </c>
    </row>
    <row r="10" spans="1:7">
      <c r="A10" s="37" t="s">
        <v>91</v>
      </c>
      <c r="B10" s="37"/>
      <c r="C10" s="37"/>
      <c r="D10" s="24">
        <f>SUM(D4:D9)</f>
        <v>3155</v>
      </c>
      <c r="E10" s="30"/>
      <c r="F10" s="24">
        <f>SUM(F4:F9)</f>
        <v>49495</v>
      </c>
      <c r="G10" s="30"/>
    </row>
  </sheetData>
  <mergeCells count="3">
    <mergeCell ref="A1:G1"/>
    <mergeCell ref="A2:G2"/>
    <mergeCell ref="A10:C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59999389629810485"/>
  </sheetPr>
  <dimension ref="A1:D19"/>
  <sheetViews>
    <sheetView showGridLines="0" zoomScaleNormal="100" workbookViewId="0">
      <pane ySplit="3" topLeftCell="A4" activePane="bottomLeft" state="frozen"/>
      <selection pane="bottomLeft" activeCell="C6" sqref="C6"/>
    </sheetView>
  </sheetViews>
  <sheetFormatPr defaultColWidth="8.7109375" defaultRowHeight="15"/>
  <cols>
    <col min="1" max="1" width="32" customWidth="1"/>
    <col min="2" max="3" width="18" customWidth="1"/>
    <col min="4" max="4" width="55" customWidth="1"/>
  </cols>
  <sheetData>
    <row r="1" spans="1:4" ht="25.5" customHeight="1">
      <c r="A1" s="5" t="s">
        <v>92</v>
      </c>
      <c r="B1" s="5"/>
      <c r="C1" s="5"/>
      <c r="D1" s="5"/>
    </row>
    <row r="3" spans="1:4" ht="17.100000000000001">
      <c r="A3" s="6" t="s">
        <v>2</v>
      </c>
      <c r="B3" s="6" t="s">
        <v>93</v>
      </c>
      <c r="C3" s="6" t="s">
        <v>94</v>
      </c>
      <c r="D3" s="6" t="s">
        <v>95</v>
      </c>
    </row>
    <row r="4" spans="1:4" ht="30" customHeight="1">
      <c r="A4" s="31" t="s">
        <v>65</v>
      </c>
      <c r="B4" s="32">
        <f>固定費!$D$8</f>
        <v>13260</v>
      </c>
      <c r="C4" s="32">
        <f>固定費!$D$8</f>
        <v>13260</v>
      </c>
      <c r="D4" s="33" t="s">
        <v>96</v>
      </c>
    </row>
    <row r="5" spans="1:4" ht="30" customHeight="1">
      <c r="A5" s="31" t="s">
        <v>91</v>
      </c>
      <c r="B5" s="32">
        <f>変動費!$D$10</f>
        <v>3155</v>
      </c>
      <c r="C5" s="32">
        <f>変動費!$F$10</f>
        <v>49495</v>
      </c>
      <c r="D5" s="33" t="s">
        <v>97</v>
      </c>
    </row>
    <row r="6" spans="1:4">
      <c r="A6" s="22" t="s">
        <v>98</v>
      </c>
      <c r="B6" s="24">
        <f>B4+B5</f>
        <v>16415</v>
      </c>
      <c r="C6" s="24">
        <f>C4+C5</f>
        <v>62755</v>
      </c>
      <c r="D6" s="34" t="s">
        <v>99</v>
      </c>
    </row>
    <row r="8" spans="1:4">
      <c r="A8" s="38" t="s">
        <v>100</v>
      </c>
      <c r="B8" s="38"/>
      <c r="C8" s="38"/>
      <c r="D8" s="38"/>
    </row>
    <row r="9" spans="1:4" ht="17.100000000000001">
      <c r="A9" s="11" t="s">
        <v>101</v>
      </c>
      <c r="B9" s="35">
        <v>2</v>
      </c>
      <c r="C9" s="39" t="s">
        <v>102</v>
      </c>
      <c r="D9" s="39"/>
    </row>
    <row r="10" spans="1:4">
      <c r="A10" s="22" t="s">
        <v>103</v>
      </c>
      <c r="B10" s="24">
        <f>B6*(12-B9)+C6*B9</f>
        <v>289660</v>
      </c>
      <c r="C10" s="40" t="s">
        <v>104</v>
      </c>
      <c r="D10" s="40"/>
    </row>
    <row r="12" spans="1:4">
      <c r="A12" s="38" t="s">
        <v>105</v>
      </c>
      <c r="B12" s="38"/>
      <c r="C12" s="38"/>
      <c r="D12" s="38"/>
    </row>
    <row r="13" spans="1:4" ht="30" customHeight="1">
      <c r="A13" s="1" t="s">
        <v>106</v>
      </c>
      <c r="B13" s="1"/>
      <c r="C13" s="1"/>
      <c r="D13" s="1"/>
    </row>
    <row r="14" spans="1:4" ht="30" customHeight="1">
      <c r="A14" s="1" t="s">
        <v>107</v>
      </c>
      <c r="B14" s="1"/>
      <c r="C14" s="1"/>
      <c r="D14" s="1"/>
    </row>
    <row r="15" spans="1:4" ht="30" customHeight="1">
      <c r="A15" s="1" t="s">
        <v>108</v>
      </c>
      <c r="B15" s="1"/>
      <c r="C15" s="1"/>
      <c r="D15" s="1"/>
    </row>
    <row r="16" spans="1:4" ht="30" customHeight="1">
      <c r="A16" s="1" t="s">
        <v>109</v>
      </c>
      <c r="B16" s="1"/>
      <c r="C16" s="1"/>
      <c r="D16" s="1"/>
    </row>
    <row r="17" spans="1:4" ht="30" customHeight="1">
      <c r="A17" s="1" t="s">
        <v>110</v>
      </c>
      <c r="B17" s="1"/>
      <c r="C17" s="1"/>
      <c r="D17" s="1"/>
    </row>
    <row r="18" spans="1:4" ht="30" customHeight="1">
      <c r="A18" s="1" t="s">
        <v>111</v>
      </c>
      <c r="B18" s="1"/>
      <c r="C18" s="1"/>
      <c r="D18" s="1"/>
    </row>
    <row r="19" spans="1:4" ht="30" customHeight="1">
      <c r="A19" s="1" t="s">
        <v>112</v>
      </c>
      <c r="B19" s="1"/>
      <c r="C19" s="1"/>
      <c r="D19" s="1"/>
    </row>
  </sheetData>
  <mergeCells count="12">
    <mergeCell ref="A18:D18"/>
    <mergeCell ref="A19:D19"/>
    <mergeCell ref="A13:D13"/>
    <mergeCell ref="A14:D14"/>
    <mergeCell ref="A15:D15"/>
    <mergeCell ref="A16:D16"/>
    <mergeCell ref="A17:D17"/>
    <mergeCell ref="A1:D1"/>
    <mergeCell ref="A8:D8"/>
    <mergeCell ref="C9:D9"/>
    <mergeCell ref="C10:D10"/>
    <mergeCell ref="A12:D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Masashi Abe</cp:lastModifiedBy>
  <cp:revision>0</cp:revision>
  <dcterms:created xsi:type="dcterms:W3CDTF">2026-09-07T03:13:21Z</dcterms:created>
  <dcterms:modified xsi:type="dcterms:W3CDTF">2026-09-07T15:44:29Z</dcterms:modified>
  <cp:category/>
  <cp:contentStatus/>
</cp:coreProperties>
</file>